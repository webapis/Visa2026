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66F1FE91-0A22-4AEC-98F6-92B041F84964}" xr6:coauthVersionLast="47" xr6:coauthVersionMax="47" xr10:uidLastSave="{00000000-0000-0000-0000-000000000000}"/>
  <bookViews>
    <workbookView xWindow="-110" yWindow="-110" windowWidth="19420" windowHeight="10300" tabRatio="596" firstSheet="18"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ApplicationType!$A$1:$AZ$35</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ApplicationType!$A$1:$AZ$35</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AM19" i="186"/>
  <c r="AM33" i="186"/>
  <c r="AM15" i="186"/>
  <c r="AM14" i="186"/>
  <c r="AM9" i="186"/>
  <c r="AM6" i="186"/>
  <c r="AM8" i="186"/>
  <c r="A23" i="186"/>
  <c r="A12" i="186"/>
  <c r="A14" i="186"/>
  <c r="A7" i="186"/>
  <c r="AM11" i="186"/>
  <c r="AM21" i="186"/>
  <c r="AM35" i="186"/>
  <c r="A29" i="186"/>
  <c r="AM29" i="186"/>
  <c r="AM17" i="186"/>
  <c r="AM22" i="186"/>
  <c r="A30" i="186"/>
  <c r="A32" i="186"/>
  <c r="A11" i="186"/>
  <c r="AM34" i="186"/>
  <c r="AM4" i="186"/>
  <c r="AM32" i="186"/>
  <c r="AM28" i="186"/>
  <c r="A18" i="186"/>
  <c r="AM24" i="186"/>
  <c r="A5" i="186"/>
  <c r="AM12" i="186"/>
  <c r="A4" i="186"/>
  <c r="AM3" i="186"/>
  <c r="AM5" i="186"/>
  <c r="A22" i="186"/>
  <c r="A31" i="186"/>
  <c r="A8" i="186"/>
  <c r="AM25" i="186"/>
  <c r="AM18" i="186"/>
  <c r="A19" i="186"/>
  <c r="A2" i="186"/>
  <c r="A35" i="186"/>
  <c r="AM20" i="186"/>
  <c r="A27" i="186"/>
  <c r="A33" i="186"/>
  <c r="A28" i="186"/>
  <c r="AM23" i="186"/>
  <c r="AM13" i="186"/>
  <c r="AM2" i="186"/>
  <c r="AM16" i="186"/>
  <c r="AM31" i="186"/>
  <c r="AM26" i="186"/>
  <c r="A20" i="186"/>
  <c r="A13" i="186"/>
  <c r="AM27" i="186"/>
  <c r="A21" i="186"/>
  <c r="A16" i="186"/>
  <c r="AM7" i="186"/>
  <c r="A34" i="186"/>
  <c r="A15" i="186"/>
  <c r="A10" i="186"/>
  <c r="A26" i="186"/>
  <c r="A6" i="186"/>
  <c r="A3" i="186"/>
  <c r="AM10" i="186"/>
  <c r="A25" i="186"/>
  <c r="A24" i="186"/>
  <c r="A17" i="186"/>
  <c r="AM30" i="186"/>
  <c r="A9"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<sst xmlns="http://schemas.openxmlformats.org/spreadsheetml/2006/main" count="24616" uniqueCount="7113">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</sst>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5" tableType="queryTable" totalsRowShown="0">
  <autoFilter ref="A1:AZ35" xr:uid="{FA110F7C-E107-4B61-AE5E-B2FA3AD1C2E9}"/>
  <sortState xmlns:xlrd2="http://schemas.microsoft.com/office/spreadsheetml/2017/richdata2" ref="A2:AZ35">
    <sortCondition ref="AN2:AN35"/>
  </sortState>
  <tableColumns count="52">
    <tableColumn id="50" xr3:uid="{6B96CD9A-68C8-4815-84EB-4737B451FBD3}" uniqueName="50" name="ID" queryTableFieldId="2"/>
    <tableColumn id="51" xr3:uid="{5DE27CDF-54F1-4D1D-8A39-5C063C78A751}" uniqueName="51" name="PdfForm_Code" queryTableFieldId="3" dataDxfId="167"/>
    <tableColumn id="52" xr3:uid="{CF0A666A-CD3F-4DB6-89BA-024D792F6323}" uniqueName="52" name="LifecycleStage" queryTableFieldId="4" dataDxfId="166"/>
    <tableColumn id="53" xr3:uid="{E5721B19-D6CC-490B-8D93-C85A1E821C52}" uniqueName="53" name="Category" queryTableFieldId="5" dataDxfId="165"/>
    <tableColumn id="54" xr3:uid="{3342E92B-1B94-46B9-92F3-F7D3BD572EF4}" uniqueName="54" name="DurationInDays" queryTableFieldId="6" dataDxfId="164"/>
    <tableColumn id="55" xr3:uid="{0F7077E8-8E54-4052-B76C-7BB89FC54175}" uniqueName="55" name="ShowProjectContract" queryTableFieldId="7" dataDxfId="163"/>
    <tableColumn id="56" xr3:uid="{B193E3DB-D64A-49CF-ACD0-86BA05FDD33C}" uniqueName="56" name="ShowVisaPeriod" queryTableFieldId="8" dataDxfId="162"/>
    <tableColumn id="57" xr3:uid="{76BD4FA9-A678-4CB7-B08C-B9013CFA4859}" uniqueName="57" name="ShowVisaCategory" queryTableFieldId="9" dataDxfId="161"/>
    <tableColumn id="58" xr3:uid="{07CF5E9D-2BF5-4884-AD02-07AFC76C059D}" uniqueName="58" name="ShowUrgency" queryTableFieldId="10" dataDxfId="160"/>
    <tableColumn id="59" xr3:uid="{F14FF850-5CAE-4BEE-B101-F2940C577963}" uniqueName="59" name="ShowInvitations" queryTableFieldId="11" dataDxfId="159"/>
    <tableColumn id="60" xr3:uid="{82F7DFE7-989F-46F3-AB1A-AC2832214AF3}" uniqueName="60" name="ShowRejections" queryTableFieldId="12" dataDxfId="158"/>
    <tableColumn id="61" xr3:uid="{1D8D116D-89BE-481D-888E-BF79E6E284EE}" uniqueName="61" name="ShowWorkPermits" queryTableFieldId="13" dataDxfId="157"/>
    <tableColumn id="62" xr3:uid="{15AAB561-B90A-41B7-9CE0-96CDD8E58581}" uniqueName="62" name="ShowRegistrations" queryTableFieldId="14" dataDxfId="156"/>
    <tableColumn id="63" xr3:uid="{5830390F-FED0-4D3A-A5C4-80BCFDC6BF48}" uniqueName="63" name="ShowVisas" queryTableFieldId="15" dataDxfId="155"/>
    <tableColumn id="64" xr3:uid="{6BD37455-4D1B-40F6-B3D0-6514D154ECB0}" uniqueName="64" name="ShowApplicationItems" queryTableFieldId="16" dataDxfId="154"/>
    <tableColumn id="65" xr3:uid="{B36EE9BB-CE38-40EC-88CE-CDB4B5E20607}" uniqueName="65" name="ShowApplicationReason" queryTableFieldId="17" dataDxfId="153"/>
    <tableColumn id="66" xr3:uid="{B852CB4C-D7D8-4F7C-8730-C7A8E2758284}" uniqueName="66" name="ShowMigrationService" queryTableFieldId="18" dataDxfId="152"/>
    <tableColumn id="67" xr3:uid="{DB2C0587-08DA-4580-B3CC-F3E6FF7A169A}" uniqueName="67" name="ShowBusinessTripPlan" queryTableFieldId="19" dataDxfId="151"/>
    <tableColumn id="68" xr3:uid="{C00C6940-4B8D-4C7E-B441-BD0D5DBB7C88}" uniqueName="68" name="ShowBusinessTrips" queryTableFieldId="20" dataDxfId="150"/>
    <tableColumn id="69" xr3:uid="{3D5C8C7D-FA8D-43A9-ACE8-D29194C6A252}" uniqueName="69" name="ShowPreviousPassport" queryTableFieldId="21" dataDxfId="149"/>
    <tableColumn id="70" xr3:uid="{EEFEB6C2-4986-47D4-AA76-AC8DAC8E9EFD}" uniqueName="70" name="ShowCurrentVisa" queryTableFieldId="22" dataDxfId="148"/>
    <tableColumn id="71" xr3:uid="{B85B16B1-A49D-4626-A28B-B1FD3AB6E5EB}" uniqueName="71" name="ShowCurrentWorkPermitItem" queryTableFieldId="23" dataDxfId="147"/>
    <tableColumn id="72" xr3:uid="{CBEC1F67-866A-488B-9C16-A67ED29A79BF}" uniqueName="72" name="ShowCurrentInvitationItem" queryTableFieldId="24" dataDxfId="146"/>
    <tableColumn id="73" xr3:uid="{D71317C8-4280-48EC-8F11-BFE90C3FE6D4}" uniqueName="73" name="ShowCurrentAddressOfResidence" queryTableFieldId="25" dataDxfId="145"/>
    <tableColumn id="74" xr3:uid="{292C3AFB-3E63-43E3-BFE6-8A9769FCD302}" uniqueName="74" name="ShowCurrentRegistration" queryTableFieldId="26" dataDxfId="144"/>
    <tableColumn id="75" xr3:uid="{C4EFFB32-96A2-49AC-A2DF-F90741504ABF}" uniqueName="75" name="ShowCurrentEmployeeContract" queryTableFieldId="27" dataDxfId="143"/>
    <tableColumn id="76" xr3:uid="{F54B1801-14C2-4E9C-A83B-C09F33E137F2}" uniqueName="76" name="ShowCurrentMedicalRecord" queryTableFieldId="28" dataDxfId="142"/>
    <tableColumn id="77" xr3:uid="{5DD36A8F-2B99-4EBE-87FD-C41CECC7B399}" uniqueName="77" name="ShowCurrentEducation" queryTableFieldId="29" dataDxfId="141"/>
    <tableColumn id="78" xr3:uid="{70742B90-B3A4-43AC-BD09-389B97C6452D}" uniqueName="78" name="ShowInvitationItemIsIssued" queryTableFieldId="30" dataDxfId="140"/>
    <tableColumn id="79" xr3:uid="{8638FE72-EB14-46A0-90ED-5612725A1AB9}" uniqueName="79" name="ShowWorkPermitItemIsIssued" queryTableFieldId="31" dataDxfId="139"/>
    <tableColumn id="80" xr3:uid="{EDE244A3-6056-44E5-8180-736F96485D51}" uniqueName="80" name="ShowRejectionIssued" queryTableFieldId="32" dataDxfId="138"/>
    <tableColumn id="81" xr3:uid="{96E43C67-2645-42F4-81ED-4C59A30AB30E}" uniqueName="81" name="ShowVisaIssued" queryTableFieldId="33" dataDxfId="137"/>
    <tableColumn id="82" xr3:uid="{FA6D9F8E-7DC2-4BD5-9544-B05CF35F170A}" uniqueName="82" name="ShowVisaIsCancelled" queryTableFieldId="34" dataDxfId="136"/>
    <tableColumn id="83" xr3:uid="{3C26FDAE-09BE-4115-976B-3CEC7B8C4F98}" uniqueName="83" name="ShowVisaIsChanged" queryTableFieldId="35" dataDxfId="135"/>
    <tableColumn id="84" xr3:uid="{4A36EB0D-13AB-4D97-A622-E5D09BE19489}" uniqueName="84" name="ShowInvitationItemIsCancelled" queryTableFieldId="36" dataDxfId="134"/>
    <tableColumn id="85" xr3:uid="{F3FDB986-5E5C-4A57-B366-C610D94C666A}" uniqueName="85" name="ShowWorkPermitItemIsCancelled" queryTableFieldId="37" dataDxfId="133"/>
    <tableColumn id="86" xr3:uid="{DFD512D1-9110-4C57-BD9F-2226B8F06C43}" uniqueName="86" name="ShowInvitationItemIsChanged" queryTableFieldId="38" dataDxfId="132"/>
    <tableColumn id="87" xr3:uid="{0D19A0CE-CF4E-47E8-B3D8-2E38806C88FD}" uniqueName="87" name="ShowWorkPermitItemIsChanged" queryTableFieldId="39" dataDxfId="131"/>
    <tableColumn id="90" xr3:uid="{9BE3AC2C-DCC8-40A0-9A6A-EED221E33721}" uniqueName="90" name="ApplicationTypeFilterID" queryTableFieldId="42"/>
    <tableColumn id="91" xr3:uid="{9971F9D4-744A-4826-8572-1BC4B955DF06}" uniqueName="91" name="ApplicationTypeFilterNames" queryTableFieldId="43" dataDxfId="130"/>
    <tableColumn id="92" xr3:uid="{06F7B1E9-8A31-4EBC-B488-4C9DB76D8C16}" uniqueName="92" name="GCRecord" queryTableFieldId="44" dataDxfId="129"/>
    <tableColumn id="93" xr3:uid="{27C4BC50-89EB-4AF9-A7CE-5D0EFE1AE4F3}" uniqueName="93" name="OptimisticLockField" queryTableFieldId="45" dataDxfId="128"/>
    <tableColumn id="94" xr3:uid="{4474AFE7-6DB8-440E-B4AD-E15EF37D9CA2}" uniqueName="94" name="Name" queryTableFieldId="46" dataDxfId="127"/>
    <tableColumn id="2" xr3:uid="{EAEA487D-3782-4013-A121-6588A5114A6E}" uniqueName="2" name="NameTm" queryTableFieldId="50" dataDxfId="12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25"/>
    <tableColumn id="4" xr3:uid="{10D78BF4-3302-4A11-B95C-149D4A0FCD94}" uniqueName="4" name="ShowMovementPermitLocation " queryTableFieldId="52" dataDxfId="124"/>
    <tableColumn id="6" xr3:uid="{F07A7FBA-0901-4F34-BEDD-A1CCC364444A}" uniqueName="6" name="ShowFromCity" queryTableFieldId="54" dataDxfId="123"/>
    <tableColumn id="7" xr3:uid="{2100D8F8-BF08-474A-A6C0-266D1F502688}" uniqueName="7" name="ShowToCity" queryTableFieldId="55"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50" priority="4">
      <formula>ISBLANK(H2)</formula>
    </cfRule>
  </conditionalFormatting>
  <conditionalFormatting sqref="B2:B4">
    <cfRule type="expression" dxfId="49"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5"/>
  <sheetViews>
    <sheetView showGridLines="0" tabSelected="1" topLeftCell="AP25" workbookViewId="0">
      <selection activeCell="K26" sqref="K26"/>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51" width="28.81640625" customWidth="1"/>
    <col min="52" max="52" width="15.1796875" bestFit="1" customWidth="1"/>
    <col min="53" max="53" width="27.6328125" customWidth="1"/>
  </cols>
  <sheetData>
    <row r="1" spans="1:52"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7111</v>
      </c>
      <c r="AY1" t="s">
        <v>7112</v>
      </c>
      <c r="AZ1" t="s">
        <v>4713</v>
      </c>
    </row>
    <row r="2" spans="1:52" x14ac:dyDescent="0.35">
      <c r="A2" t="str">
        <f t="shared" ref="A2:A35"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5" si="1">DETERMINISTIC_GUID(AN2)</f>
        <v>95ECF44F-B94D-3F44-0D80-915DF480EE78</v>
      </c>
      <c r="AN2" s="1" t="s">
        <v>6957</v>
      </c>
      <c r="AO2" s="1">
        <v>0</v>
      </c>
      <c r="AP2" s="1">
        <v>0</v>
      </c>
      <c r="AQ2" s="6" t="s">
        <v>6975</v>
      </c>
      <c r="AR2" s="6" t="s">
        <v>6919</v>
      </c>
      <c r="AS2" t="s">
        <v>4428</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c r="AY4" s="5">
        <v>0</v>
      </c>
      <c r="AZ4" s="5">
        <v>0</v>
      </c>
    </row>
    <row r="5" spans="1:52"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0</v>
      </c>
      <c r="AY5" s="5">
        <v>0</v>
      </c>
      <c r="AZ5" s="5">
        <v>1</v>
      </c>
    </row>
    <row r="6" spans="1:52"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0</v>
      </c>
      <c r="AY6" s="5">
        <v>0</v>
      </c>
      <c r="AZ6" s="5">
        <v>1</v>
      </c>
    </row>
    <row r="7" spans="1:52"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0</v>
      </c>
      <c r="AY7" s="5">
        <v>0</v>
      </c>
      <c r="AZ7" s="5">
        <v>1</v>
      </c>
    </row>
    <row r="8" spans="1:52"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0</v>
      </c>
      <c r="AY8" s="5">
        <v>0</v>
      </c>
      <c r="AZ8" s="5">
        <v>1</v>
      </c>
    </row>
    <row r="9" spans="1:52"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c r="AY9" s="5">
        <v>0</v>
      </c>
      <c r="AZ9" s="5">
        <v>0</v>
      </c>
    </row>
    <row r="10" spans="1:52"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c r="AY10" s="5">
        <v>0</v>
      </c>
      <c r="AZ10" s="5">
        <v>0</v>
      </c>
    </row>
    <row r="11" spans="1:52"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c r="AY11" s="5">
        <v>0</v>
      </c>
      <c r="AZ11" s="5">
        <v>0</v>
      </c>
    </row>
    <row r="12" spans="1:52"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c r="AY12" s="5">
        <v>0</v>
      </c>
      <c r="AZ12" s="5">
        <v>0</v>
      </c>
    </row>
    <row r="13" spans="1:52"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c r="AY13" s="5">
        <v>0</v>
      </c>
      <c r="AZ13" s="5">
        <v>0</v>
      </c>
    </row>
    <row r="14" spans="1:52"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1</v>
      </c>
      <c r="AY14" s="5">
        <v>1</v>
      </c>
      <c r="AZ14" s="5">
        <v>0</v>
      </c>
    </row>
    <row r="15" spans="1:52"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c r="AY15" s="5">
        <v>0</v>
      </c>
      <c r="AZ15" s="5">
        <v>0</v>
      </c>
    </row>
    <row r="16" spans="1:52"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c r="AY16" s="5">
        <v>0</v>
      </c>
      <c r="AZ16" s="5">
        <v>0</v>
      </c>
    </row>
    <row r="17" spans="1:52"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c r="AY17" s="5">
        <v>0</v>
      </c>
      <c r="AZ17" s="5">
        <v>0</v>
      </c>
    </row>
    <row r="18" spans="1:52"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c r="AY18" s="5">
        <v>0</v>
      </c>
      <c r="AZ18" s="5">
        <v>0</v>
      </c>
    </row>
    <row r="19" spans="1:52"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c r="AY19" s="5">
        <v>0</v>
      </c>
      <c r="AZ19" s="5">
        <v>0</v>
      </c>
    </row>
    <row r="20" spans="1:52" x14ac:dyDescent="0.35">
      <c r="A20" t="str">
        <f t="shared" ref="A20:A22"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AM22" si="7">DETERMINISTIC_GUID(AN20)</f>
        <v>563873D3-8950-B841-AEBF-89C3BE1B1A35</v>
      </c>
      <c r="AN20" s="1" t="s">
        <v>249</v>
      </c>
      <c r="AO20" s="1">
        <v>0</v>
      </c>
      <c r="AP20" s="1">
        <v>0</v>
      </c>
      <c r="AQ20" s="6" t="s">
        <v>7047</v>
      </c>
      <c r="AR20" s="6" t="s">
        <v>7049</v>
      </c>
      <c r="AS20" t="s">
        <v>4423</v>
      </c>
      <c r="AT20">
        <v>0</v>
      </c>
      <c r="AU20" s="5">
        <v>1</v>
      </c>
      <c r="AV20" s="5">
        <v>0</v>
      </c>
      <c r="AW20" s="5">
        <v>0</v>
      </c>
      <c r="AX20" s="5">
        <v>1</v>
      </c>
      <c r="AY20" s="5">
        <v>1</v>
      </c>
      <c r="AZ20" s="5">
        <v>0</v>
      </c>
    </row>
    <row r="21" spans="1:52" s="23" customFormat="1" x14ac:dyDescent="0.35">
      <c r="A21" s="23" t="str">
        <f t="shared" si="6"/>
        <v>4C350D6E-AE81-DE8E-82F1-D9675DABFCD6</v>
      </c>
      <c r="B21" s="24">
        <v>0</v>
      </c>
      <c r="C21" s="24">
        <v>0</v>
      </c>
      <c r="D21" s="24">
        <v>0</v>
      </c>
      <c r="E21" s="25">
        <v>2</v>
      </c>
      <c r="F21" s="26">
        <v>0</v>
      </c>
      <c r="G21" s="26">
        <v>0</v>
      </c>
      <c r="H21" s="26">
        <v>0</v>
      </c>
      <c r="I21" s="26">
        <v>0</v>
      </c>
      <c r="J21" s="26">
        <v>0</v>
      </c>
      <c r="K21" s="26">
        <v>0</v>
      </c>
      <c r="L21" s="26">
        <v>0</v>
      </c>
      <c r="M21" s="26">
        <v>0</v>
      </c>
      <c r="N21" s="26">
        <v>0</v>
      </c>
      <c r="O21" s="26">
        <v>0</v>
      </c>
      <c r="P21" s="26">
        <v>0</v>
      </c>
      <c r="Q21" s="26">
        <v>1</v>
      </c>
      <c r="R21" s="26">
        <v>1</v>
      </c>
      <c r="S21" s="26">
        <v>1</v>
      </c>
      <c r="T21" s="26">
        <v>0</v>
      </c>
      <c r="U21" s="26">
        <v>0</v>
      </c>
      <c r="V21" s="26">
        <v>0</v>
      </c>
      <c r="W21" s="26">
        <v>0</v>
      </c>
      <c r="X21" s="26">
        <v>0</v>
      </c>
      <c r="Y21" s="26">
        <v>0</v>
      </c>
      <c r="Z21" s="26">
        <v>0</v>
      </c>
      <c r="AA21" s="26">
        <v>0</v>
      </c>
      <c r="AB21" s="25">
        <v>0</v>
      </c>
      <c r="AC21" s="26">
        <v>0</v>
      </c>
      <c r="AD21" s="26">
        <v>0</v>
      </c>
      <c r="AE21" s="26">
        <v>0</v>
      </c>
      <c r="AF21" s="26">
        <v>0</v>
      </c>
      <c r="AG21" s="26">
        <v>0</v>
      </c>
      <c r="AH21" s="26">
        <v>0</v>
      </c>
      <c r="AI21" s="26">
        <v>0</v>
      </c>
      <c r="AJ21" s="26">
        <v>0</v>
      </c>
      <c r="AK21" s="26">
        <v>0</v>
      </c>
      <c r="AL21" s="26">
        <v>0</v>
      </c>
      <c r="AM21" s="23" t="str">
        <f t="shared" si="7"/>
        <v>BFA7F68E-C630-58AD-878F-E575607F5674</v>
      </c>
      <c r="AN21" s="24" t="s">
        <v>441</v>
      </c>
      <c r="AO21" s="24">
        <v>0</v>
      </c>
      <c r="AP21" s="24">
        <v>0</v>
      </c>
      <c r="AQ21" s="25" t="s">
        <v>7106</v>
      </c>
      <c r="AR21" s="25" t="s">
        <v>7108</v>
      </c>
      <c r="AS21" s="23" t="s">
        <v>7110</v>
      </c>
      <c r="AT21" s="23">
        <v>0</v>
      </c>
      <c r="AU21" s="26">
        <v>0</v>
      </c>
      <c r="AV21" s="26">
        <v>0</v>
      </c>
      <c r="AW21" s="26">
        <v>0</v>
      </c>
      <c r="AX21" s="5">
        <v>0</v>
      </c>
      <c r="AY21" s="5">
        <v>1</v>
      </c>
      <c r="AZ21" s="26">
        <v>0</v>
      </c>
    </row>
    <row r="22" spans="1:52" s="23" customFormat="1" x14ac:dyDescent="0.35">
      <c r="A22" s="23" t="str">
        <f t="shared" si="6"/>
        <v>BA2F6D15-C42B-335C-A106-BCC406026F18</v>
      </c>
      <c r="B22" s="24">
        <v>0</v>
      </c>
      <c r="C22" s="24">
        <v>0</v>
      </c>
      <c r="D22" s="24">
        <v>0</v>
      </c>
      <c r="E22" s="25">
        <v>2</v>
      </c>
      <c r="F22" s="26">
        <v>0</v>
      </c>
      <c r="G22" s="26">
        <v>0</v>
      </c>
      <c r="H22" s="26">
        <v>0</v>
      </c>
      <c r="I22" s="26">
        <v>0</v>
      </c>
      <c r="J22" s="26">
        <v>0</v>
      </c>
      <c r="K22" s="26">
        <v>0</v>
      </c>
      <c r="L22" s="26">
        <v>0</v>
      </c>
      <c r="M22" s="26">
        <v>0</v>
      </c>
      <c r="N22" s="26">
        <v>0</v>
      </c>
      <c r="O22" s="26">
        <v>0</v>
      </c>
      <c r="P22" s="26">
        <v>0</v>
      </c>
      <c r="Q22" s="26">
        <v>1</v>
      </c>
      <c r="R22" s="26">
        <v>1</v>
      </c>
      <c r="S22" s="26">
        <v>1</v>
      </c>
      <c r="T22" s="26">
        <v>0</v>
      </c>
      <c r="U22" s="26">
        <v>0</v>
      </c>
      <c r="V22" s="26">
        <v>0</v>
      </c>
      <c r="W22" s="26">
        <v>0</v>
      </c>
      <c r="X22" s="26">
        <v>0</v>
      </c>
      <c r="Y22" s="26">
        <v>0</v>
      </c>
      <c r="Z22" s="26">
        <v>0</v>
      </c>
      <c r="AA22" s="26">
        <v>0</v>
      </c>
      <c r="AB22" s="25">
        <v>0</v>
      </c>
      <c r="AC22" s="26">
        <v>0</v>
      </c>
      <c r="AD22" s="26">
        <v>0</v>
      </c>
      <c r="AE22" s="26">
        <v>0</v>
      </c>
      <c r="AF22" s="26">
        <v>0</v>
      </c>
      <c r="AG22" s="26">
        <v>0</v>
      </c>
      <c r="AH22" s="26">
        <v>0</v>
      </c>
      <c r="AI22" s="26">
        <v>0</v>
      </c>
      <c r="AJ22" s="26">
        <v>0</v>
      </c>
      <c r="AK22" s="26">
        <v>0</v>
      </c>
      <c r="AL22" s="26">
        <v>0</v>
      </c>
      <c r="AM22" s="23" t="str">
        <f t="shared" si="7"/>
        <v>BFA7F68E-C630-58AD-878F-E575607F5674</v>
      </c>
      <c r="AN22" s="24" t="s">
        <v>441</v>
      </c>
      <c r="AO22" s="24">
        <v>0</v>
      </c>
      <c r="AP22" s="24">
        <v>0</v>
      </c>
      <c r="AQ22" s="25" t="s">
        <v>7107</v>
      </c>
      <c r="AR22" s="25" t="s">
        <v>7109</v>
      </c>
      <c r="AS22" s="23" t="s">
        <v>7110</v>
      </c>
      <c r="AT22" s="23">
        <v>0</v>
      </c>
      <c r="AU22" s="26">
        <v>0</v>
      </c>
      <c r="AV22" s="26">
        <v>0</v>
      </c>
      <c r="AW22" s="26">
        <v>0</v>
      </c>
      <c r="AX22" s="5">
        <v>1</v>
      </c>
      <c r="AY22" s="5">
        <v>0</v>
      </c>
      <c r="AZ22" s="26">
        <v>0</v>
      </c>
    </row>
    <row r="23" spans="1:52" x14ac:dyDescent="0.35">
      <c r="A23" t="str">
        <f t="shared" si="0"/>
        <v>A936DDBA-CEED-07C5-FC92-A5887DA8A5BF</v>
      </c>
      <c r="B23" s="1">
        <v>0</v>
      </c>
      <c r="C23" s="1">
        <v>2</v>
      </c>
      <c r="D23" s="1">
        <v>2</v>
      </c>
      <c r="E23" s="6">
        <v>10</v>
      </c>
      <c r="F23" s="5">
        <v>0</v>
      </c>
      <c r="G23" s="5">
        <v>0</v>
      </c>
      <c r="H23" s="5">
        <v>0</v>
      </c>
      <c r="I23" s="5">
        <v>0</v>
      </c>
      <c r="J23" s="5">
        <v>0</v>
      </c>
      <c r="K23" s="5">
        <v>0</v>
      </c>
      <c r="L23" s="5">
        <v>0</v>
      </c>
      <c r="M23" s="5">
        <v>0</v>
      </c>
      <c r="N23" s="5">
        <v>0</v>
      </c>
      <c r="O23" s="5">
        <v>1</v>
      </c>
      <c r="P23" s="5">
        <v>1</v>
      </c>
      <c r="Q23" s="5">
        <v>1</v>
      </c>
      <c r="R23" s="5">
        <v>0</v>
      </c>
      <c r="S23" s="5">
        <v>0</v>
      </c>
      <c r="T23" s="5">
        <v>0</v>
      </c>
      <c r="U23" s="5">
        <v>1</v>
      </c>
      <c r="V23" s="5">
        <v>0</v>
      </c>
      <c r="W23" s="5">
        <v>0</v>
      </c>
      <c r="X23" s="5">
        <v>0</v>
      </c>
      <c r="Y23" s="5">
        <v>0</v>
      </c>
      <c r="Z23" s="5">
        <v>0</v>
      </c>
      <c r="AA23" s="5">
        <v>0</v>
      </c>
      <c r="AB23" s="6">
        <v>1</v>
      </c>
      <c r="AC23" s="5">
        <v>0</v>
      </c>
      <c r="AD23" s="5">
        <v>0</v>
      </c>
      <c r="AE23" s="5">
        <v>0</v>
      </c>
      <c r="AF23" s="5">
        <v>0</v>
      </c>
      <c r="AG23" s="5">
        <v>0</v>
      </c>
      <c r="AH23" s="5">
        <v>1</v>
      </c>
      <c r="AI23" s="5">
        <v>0</v>
      </c>
      <c r="AJ23" s="5">
        <v>0</v>
      </c>
      <c r="AK23" s="5">
        <v>0</v>
      </c>
      <c r="AL23" s="5">
        <v>0</v>
      </c>
      <c r="AM23" t="str">
        <f t="shared" si="1"/>
        <v>63CE5DF4-A6B9-5D04-9B47-C7D6B67E7C4B</v>
      </c>
      <c r="AN23" s="1" t="s">
        <v>6959</v>
      </c>
      <c r="AO23" s="1">
        <v>0</v>
      </c>
      <c r="AP23" s="1">
        <v>0</v>
      </c>
      <c r="AQ23" s="6" t="s">
        <v>6992</v>
      </c>
      <c r="AR23" s="6" t="s">
        <v>6926</v>
      </c>
      <c r="AS23" t="s">
        <v>4434</v>
      </c>
      <c r="AT23">
        <v>0</v>
      </c>
      <c r="AU23" s="5">
        <v>0</v>
      </c>
      <c r="AV23" s="5">
        <v>0</v>
      </c>
      <c r="AW23" s="5">
        <v>0</v>
      </c>
      <c r="AX23" s="5">
        <v>0</v>
      </c>
      <c r="AY23" s="5">
        <v>0</v>
      </c>
      <c r="AZ23" s="5">
        <v>0</v>
      </c>
    </row>
    <row r="24" spans="1:52" x14ac:dyDescent="0.35">
      <c r="A24" t="str">
        <f t="shared" si="0"/>
        <v>24F3AAA5-68BA-AEA6-0996-35E5DE70F45C</v>
      </c>
      <c r="B24" s="1">
        <v>3</v>
      </c>
      <c r="C24" s="1">
        <v>1</v>
      </c>
      <c r="D24" s="1">
        <v>1</v>
      </c>
      <c r="E24" s="6">
        <v>45</v>
      </c>
      <c r="F24" s="5">
        <v>1</v>
      </c>
      <c r="G24" s="5">
        <v>1</v>
      </c>
      <c r="H24" s="5">
        <v>1</v>
      </c>
      <c r="I24" s="5">
        <v>1</v>
      </c>
      <c r="J24" s="5">
        <v>0</v>
      </c>
      <c r="K24" s="5">
        <v>1</v>
      </c>
      <c r="L24" s="5">
        <v>0</v>
      </c>
      <c r="M24" s="5">
        <v>0</v>
      </c>
      <c r="N24" s="5">
        <v>1</v>
      </c>
      <c r="O24" s="5">
        <v>1</v>
      </c>
      <c r="P24" s="5">
        <v>1</v>
      </c>
      <c r="Q24" s="5">
        <v>1</v>
      </c>
      <c r="R24" s="5">
        <v>0</v>
      </c>
      <c r="S24" s="5">
        <v>0</v>
      </c>
      <c r="T24" s="5">
        <v>0</v>
      </c>
      <c r="U24" s="5">
        <v>1</v>
      </c>
      <c r="V24" s="5">
        <v>1</v>
      </c>
      <c r="W24" s="5">
        <v>0</v>
      </c>
      <c r="X24" s="5">
        <v>1</v>
      </c>
      <c r="Y24" s="5">
        <v>0</v>
      </c>
      <c r="Z24" s="5">
        <v>1</v>
      </c>
      <c r="AA24" s="5">
        <v>1</v>
      </c>
      <c r="AB24" s="6">
        <v>1</v>
      </c>
      <c r="AC24" s="5">
        <v>0</v>
      </c>
      <c r="AD24" s="5">
        <v>0</v>
      </c>
      <c r="AE24" s="5">
        <v>0</v>
      </c>
      <c r="AF24" s="5">
        <v>1</v>
      </c>
      <c r="AG24" s="5">
        <v>0</v>
      </c>
      <c r="AH24" s="5">
        <v>1</v>
      </c>
      <c r="AI24" s="5">
        <v>0</v>
      </c>
      <c r="AJ24" s="5">
        <v>0</v>
      </c>
      <c r="AK24" s="5">
        <v>0</v>
      </c>
      <c r="AL24" s="5">
        <v>0</v>
      </c>
      <c r="AM24" t="str">
        <f t="shared" si="1"/>
        <v>63CE5DF4-A6B9-5D04-9B47-C7D6B67E7C4B</v>
      </c>
      <c r="AN24" s="1" t="s">
        <v>6959</v>
      </c>
      <c r="AO24" s="1">
        <v>0</v>
      </c>
      <c r="AP24" s="1">
        <v>0</v>
      </c>
      <c r="AQ24" s="6" t="s">
        <v>6977</v>
      </c>
      <c r="AR24" s="6" t="s">
        <v>6916</v>
      </c>
      <c r="AS24" t="s">
        <v>4426</v>
      </c>
      <c r="AT24">
        <v>0</v>
      </c>
      <c r="AU24" s="5">
        <v>0</v>
      </c>
      <c r="AV24" s="5">
        <v>0</v>
      </c>
      <c r="AW24" s="5">
        <v>0</v>
      </c>
      <c r="AX24" s="5">
        <v>0</v>
      </c>
      <c r="AY24" s="5">
        <v>0</v>
      </c>
      <c r="AZ24" s="5">
        <v>1</v>
      </c>
    </row>
    <row r="25" spans="1:52" x14ac:dyDescent="0.35">
      <c r="A25" t="str">
        <f t="shared" si="0"/>
        <v>0946C982-5FF3-D014-CDBE-876F9F6DC9F5</v>
      </c>
      <c r="B25" s="1">
        <v>3</v>
      </c>
      <c r="C25" s="1">
        <v>1</v>
      </c>
      <c r="D25" s="1">
        <v>2</v>
      </c>
      <c r="E25" s="6">
        <v>45</v>
      </c>
      <c r="F25" s="5">
        <v>1</v>
      </c>
      <c r="G25" s="5">
        <v>1</v>
      </c>
      <c r="H25" s="5">
        <v>1</v>
      </c>
      <c r="I25" s="5">
        <v>1</v>
      </c>
      <c r="J25" s="5">
        <v>0</v>
      </c>
      <c r="K25" s="5">
        <v>0</v>
      </c>
      <c r="L25" s="5">
        <v>0</v>
      </c>
      <c r="M25" s="5">
        <v>0</v>
      </c>
      <c r="N25" s="5">
        <v>1</v>
      </c>
      <c r="O25" s="5">
        <v>1</v>
      </c>
      <c r="P25" s="5">
        <v>1</v>
      </c>
      <c r="Q25" s="5">
        <v>0</v>
      </c>
      <c r="R25" s="5">
        <v>0</v>
      </c>
      <c r="S25" s="5">
        <v>0</v>
      </c>
      <c r="T25" s="5">
        <v>0</v>
      </c>
      <c r="U25" s="5">
        <v>1</v>
      </c>
      <c r="V25" s="5">
        <v>0</v>
      </c>
      <c r="W25" s="5">
        <v>0</v>
      </c>
      <c r="X25" s="5">
        <v>1</v>
      </c>
      <c r="Y25" s="5">
        <v>0</v>
      </c>
      <c r="Z25" s="5">
        <v>0</v>
      </c>
      <c r="AA25" s="5">
        <v>1</v>
      </c>
      <c r="AB25" s="6">
        <v>1</v>
      </c>
      <c r="AC25" s="5">
        <v>0</v>
      </c>
      <c r="AD25" s="5">
        <v>0</v>
      </c>
      <c r="AE25" s="5">
        <v>1</v>
      </c>
      <c r="AF25" s="5">
        <v>1</v>
      </c>
      <c r="AG25" s="5">
        <v>0</v>
      </c>
      <c r="AH25" s="5">
        <v>0</v>
      </c>
      <c r="AI25" s="5">
        <v>0</v>
      </c>
      <c r="AJ25" s="5">
        <v>0</v>
      </c>
      <c r="AK25" s="5">
        <v>0</v>
      </c>
      <c r="AL25" s="5">
        <v>0</v>
      </c>
      <c r="AM25" t="str">
        <f t="shared" si="1"/>
        <v>63CE5DF4-A6B9-5D04-9B47-C7D6B67E7C4B</v>
      </c>
      <c r="AN25" s="1" t="s">
        <v>6959</v>
      </c>
      <c r="AO25" s="1">
        <v>0</v>
      </c>
      <c r="AP25" s="1">
        <v>0</v>
      </c>
      <c r="AQ25" s="6" t="s">
        <v>6978</v>
      </c>
      <c r="AR25" s="6" t="s">
        <v>6922</v>
      </c>
      <c r="AS25" t="s">
        <v>4426</v>
      </c>
      <c r="AT25">
        <v>0</v>
      </c>
      <c r="AU25" s="5">
        <v>0</v>
      </c>
      <c r="AV25" s="5">
        <v>0</v>
      </c>
      <c r="AW25" s="5">
        <v>0</v>
      </c>
      <c r="AX25" s="5">
        <v>0</v>
      </c>
      <c r="AY25" s="5">
        <v>0</v>
      </c>
      <c r="AZ25" s="5">
        <v>1</v>
      </c>
    </row>
    <row r="26" spans="1:52" s="23" customFormat="1" x14ac:dyDescent="0.35">
      <c r="A26" s="23" t="str">
        <f t="shared" ref="A26" si="8">DETERMINISTIC_GUID(AQ26)</f>
        <v>1C33275B-6F85-33E7-104D-A77C6CF0CBDC</v>
      </c>
      <c r="B26" s="24">
        <v>3</v>
      </c>
      <c r="C26" s="24">
        <v>1</v>
      </c>
      <c r="D26" s="24">
        <v>2</v>
      </c>
      <c r="E26" s="25">
        <v>45</v>
      </c>
      <c r="F26" s="26">
        <v>1</v>
      </c>
      <c r="G26" s="26">
        <v>1</v>
      </c>
      <c r="H26" s="26">
        <v>1</v>
      </c>
      <c r="I26" s="26">
        <v>1</v>
      </c>
      <c r="J26" s="26">
        <v>0</v>
      </c>
      <c r="K26" s="26">
        <v>0</v>
      </c>
      <c r="L26" s="26">
        <v>0</v>
      </c>
      <c r="M26" s="26">
        <v>0</v>
      </c>
      <c r="N26" s="26">
        <v>1</v>
      </c>
      <c r="O26" s="26">
        <v>1</v>
      </c>
      <c r="P26" s="26">
        <v>1</v>
      </c>
      <c r="Q26" s="26">
        <v>0</v>
      </c>
      <c r="R26" s="26">
        <v>0</v>
      </c>
      <c r="S26" s="26">
        <v>0</v>
      </c>
      <c r="T26" s="26">
        <v>0</v>
      </c>
      <c r="U26" s="26">
        <v>1</v>
      </c>
      <c r="V26" s="26">
        <v>0</v>
      </c>
      <c r="W26" s="26">
        <v>0</v>
      </c>
      <c r="X26" s="26">
        <v>1</v>
      </c>
      <c r="Y26" s="26">
        <v>0</v>
      </c>
      <c r="Z26" s="26">
        <v>0</v>
      </c>
      <c r="AA26" s="26">
        <v>1</v>
      </c>
      <c r="AB26" s="25">
        <v>1</v>
      </c>
      <c r="AC26" s="26">
        <v>0</v>
      </c>
      <c r="AD26" s="26">
        <v>0</v>
      </c>
      <c r="AE26" s="26">
        <v>1</v>
      </c>
      <c r="AF26" s="26">
        <v>1</v>
      </c>
      <c r="AG26" s="26">
        <v>0</v>
      </c>
      <c r="AH26" s="26">
        <v>0</v>
      </c>
      <c r="AI26" s="26">
        <v>0</v>
      </c>
      <c r="AJ26" s="26">
        <v>0</v>
      </c>
      <c r="AK26" s="26">
        <v>0</v>
      </c>
      <c r="AL26" s="26">
        <v>0</v>
      </c>
      <c r="AM26" s="23" t="str">
        <f t="shared" ref="AM26" si="9">DETERMINISTIC_GUID(AN26)</f>
        <v>63CE5DF4-A6B9-5D04-9B47-C7D6B67E7C4B</v>
      </c>
      <c r="AN26" s="24" t="s">
        <v>6959</v>
      </c>
      <c r="AO26" s="24">
        <v>0</v>
      </c>
      <c r="AP26" s="24">
        <v>0</v>
      </c>
      <c r="AQ26" s="25" t="s">
        <v>7091</v>
      </c>
      <c r="AR26" s="25" t="s">
        <v>7090</v>
      </c>
      <c r="AS26" s="23" t="s">
        <v>7089</v>
      </c>
      <c r="AT26" s="23">
        <v>0</v>
      </c>
      <c r="AU26" s="26">
        <v>0</v>
      </c>
      <c r="AV26" s="26">
        <v>0</v>
      </c>
      <c r="AW26" s="26">
        <v>0</v>
      </c>
      <c r="AX26" s="5">
        <v>0</v>
      </c>
      <c r="AY26" s="5">
        <v>0</v>
      </c>
      <c r="AZ26" s="26">
        <v>0</v>
      </c>
    </row>
    <row r="27" spans="1:52" x14ac:dyDescent="0.35">
      <c r="A27" t="str">
        <f t="shared" si="0"/>
        <v>03EF3067-BD85-C361-18AA-C0B731E8D5C7</v>
      </c>
      <c r="B27" s="1">
        <v>8</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63CE5DF4-A6B9-5D04-9B47-C7D6B67E7C4B</v>
      </c>
      <c r="AN27" s="1" t="s">
        <v>6959</v>
      </c>
      <c r="AO27" s="1">
        <v>0</v>
      </c>
      <c r="AP27" s="1">
        <v>0</v>
      </c>
      <c r="AQ27" s="6" t="s">
        <v>6994</v>
      </c>
      <c r="AR27" s="6" t="s">
        <v>6921</v>
      </c>
      <c r="AS27" t="s">
        <v>4430</v>
      </c>
      <c r="AT27">
        <v>0</v>
      </c>
      <c r="AU27" s="5">
        <v>0</v>
      </c>
      <c r="AV27" s="5">
        <v>0</v>
      </c>
      <c r="AW27" s="5">
        <v>0</v>
      </c>
      <c r="AX27" s="5">
        <v>0</v>
      </c>
      <c r="AY27" s="5">
        <v>0</v>
      </c>
      <c r="AZ27" s="5">
        <v>0</v>
      </c>
    </row>
    <row r="28" spans="1:52" x14ac:dyDescent="0.35">
      <c r="A28" t="str">
        <f t="shared" si="0"/>
        <v>8F7B18A5-9D5E-F297-3EDA-AAC423DEB30B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1</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si="1"/>
        <v>63CE5DF4-A6B9-5D04-9B47-C7D6B67E7C4B</v>
      </c>
      <c r="AN28" s="1" t="s">
        <v>6959</v>
      </c>
      <c r="AO28" s="1">
        <v>0</v>
      </c>
      <c r="AP28" s="1">
        <v>0</v>
      </c>
      <c r="AQ28" s="6" t="s">
        <v>6995</v>
      </c>
      <c r="AR28" s="6" t="s">
        <v>6925</v>
      </c>
      <c r="AS28" t="s">
        <v>4433</v>
      </c>
      <c r="AT28">
        <v>0</v>
      </c>
      <c r="AU28" s="5">
        <v>0</v>
      </c>
      <c r="AV28" s="5">
        <v>0</v>
      </c>
      <c r="AW28" s="5">
        <v>0</v>
      </c>
      <c r="AX28" s="5">
        <v>0</v>
      </c>
      <c r="AY28" s="5">
        <v>0</v>
      </c>
      <c r="AZ28" s="5">
        <v>0</v>
      </c>
    </row>
    <row r="29" spans="1:52" x14ac:dyDescent="0.35">
      <c r="A29" t="str">
        <f t="shared" si="0"/>
        <v>3AFCD18E-4F75-6D98-3478-EDD4B9686F6F</v>
      </c>
      <c r="B29" s="1">
        <v>6</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2B8A7ED4-B727-3B73-F399-ABFECF528C0F</v>
      </c>
      <c r="AN29" s="1" t="s">
        <v>7009</v>
      </c>
      <c r="AO29" s="1">
        <v>0</v>
      </c>
      <c r="AP29" s="1">
        <v>0</v>
      </c>
      <c r="AQ29" s="6" t="s">
        <v>7013</v>
      </c>
      <c r="AR29" s="6" t="s">
        <v>7014</v>
      </c>
      <c r="AS29" t="s">
        <v>4426</v>
      </c>
      <c r="AT29">
        <v>0</v>
      </c>
      <c r="AU29" s="5">
        <v>0</v>
      </c>
      <c r="AV29" s="5">
        <v>0</v>
      </c>
      <c r="AW29" s="5">
        <v>0</v>
      </c>
      <c r="AX29" s="5">
        <v>0</v>
      </c>
      <c r="AY29" s="5">
        <v>0</v>
      </c>
      <c r="AZ29" s="5">
        <v>1</v>
      </c>
    </row>
    <row r="30" spans="1:52" x14ac:dyDescent="0.35">
      <c r="A30" t="str">
        <f t="shared" ref="A30" si="10">DETERMINISTIC_GUID(AQ30)</f>
        <v>835449DD-83CC-2034-D036-6A2AB3F90E1B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0</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ref="AM30" si="11">DETERMINISTIC_GUID(AN30)</f>
        <v>2B8A7ED4-B727-3B73-F399-ABFECF528C0F</v>
      </c>
      <c r="AN30" s="1" t="s">
        <v>7009</v>
      </c>
      <c r="AO30" s="1">
        <v>0</v>
      </c>
      <c r="AP30" s="1">
        <v>0</v>
      </c>
      <c r="AQ30" s="6" t="s">
        <v>7072</v>
      </c>
      <c r="AR30" s="6" t="s">
        <v>7071</v>
      </c>
      <c r="AS30" t="s">
        <v>4426</v>
      </c>
      <c r="AT30">
        <v>0</v>
      </c>
      <c r="AU30" s="5">
        <v>0</v>
      </c>
      <c r="AV30" s="5">
        <v>0</v>
      </c>
      <c r="AW30" s="5">
        <v>0</v>
      </c>
      <c r="AX30" s="5">
        <v>0</v>
      </c>
      <c r="AY30" s="5">
        <v>0</v>
      </c>
      <c r="AZ30" s="5">
        <v>0</v>
      </c>
    </row>
    <row r="31" spans="1:52" x14ac:dyDescent="0.35">
      <c r="A31" t="str">
        <f t="shared" si="0"/>
        <v>56730242-CE7C-4182-79C6-72412646D097</v>
      </c>
      <c r="B31" s="1">
        <v>0</v>
      </c>
      <c r="C31" s="1">
        <v>2</v>
      </c>
      <c r="D31" s="1">
        <v>1</v>
      </c>
      <c r="E31" s="6">
        <v>10</v>
      </c>
      <c r="F31" s="5">
        <v>0</v>
      </c>
      <c r="G31" s="5">
        <v>0</v>
      </c>
      <c r="H31" s="5">
        <v>0</v>
      </c>
      <c r="I31" s="5">
        <v>0</v>
      </c>
      <c r="J31" s="5">
        <v>0</v>
      </c>
      <c r="K31" s="5">
        <v>0</v>
      </c>
      <c r="L31" s="5">
        <v>0</v>
      </c>
      <c r="M31" s="5">
        <v>0</v>
      </c>
      <c r="N31" s="5">
        <v>0</v>
      </c>
      <c r="O31" s="5">
        <v>1</v>
      </c>
      <c r="P31" s="5">
        <v>1</v>
      </c>
      <c r="Q31" s="5">
        <v>1</v>
      </c>
      <c r="R31" s="5">
        <v>0</v>
      </c>
      <c r="S31" s="5">
        <v>0</v>
      </c>
      <c r="T31" s="5">
        <v>0</v>
      </c>
      <c r="U31" s="5">
        <v>1</v>
      </c>
      <c r="V31" s="5">
        <v>1</v>
      </c>
      <c r="W31" s="5">
        <v>0</v>
      </c>
      <c r="X31" s="5">
        <v>1</v>
      </c>
      <c r="Y31" s="5">
        <v>0</v>
      </c>
      <c r="Z31" s="5">
        <v>0</v>
      </c>
      <c r="AA31" s="5">
        <v>0</v>
      </c>
      <c r="AB31" s="6">
        <v>1</v>
      </c>
      <c r="AC31" s="5">
        <v>0</v>
      </c>
      <c r="AD31" s="5">
        <v>0</v>
      </c>
      <c r="AE31" s="5">
        <v>0</v>
      </c>
      <c r="AF31" s="5">
        <v>0</v>
      </c>
      <c r="AG31" s="5">
        <v>0</v>
      </c>
      <c r="AH31" s="5">
        <v>1</v>
      </c>
      <c r="AI31" s="5">
        <v>0</v>
      </c>
      <c r="AJ31" s="5">
        <v>1</v>
      </c>
      <c r="AK31" s="5">
        <v>0</v>
      </c>
      <c r="AL31" s="5">
        <v>0</v>
      </c>
      <c r="AM31" t="str">
        <f t="shared" si="1"/>
        <v>B205C009-3EF3-1195-1439-9E9C2E1DB27B</v>
      </c>
      <c r="AN31" s="1" t="s">
        <v>6969</v>
      </c>
      <c r="AO31" s="1">
        <v>0</v>
      </c>
      <c r="AP31" s="1">
        <v>0</v>
      </c>
      <c r="AQ31" s="6" t="s">
        <v>6993</v>
      </c>
      <c r="AR31" s="6" t="s">
        <v>6923</v>
      </c>
      <c r="AS31" t="s">
        <v>4431</v>
      </c>
      <c r="AT31">
        <v>0</v>
      </c>
      <c r="AU31" s="5">
        <v>0</v>
      </c>
      <c r="AV31" s="5">
        <v>0</v>
      </c>
      <c r="AW31" s="5">
        <v>0</v>
      </c>
      <c r="AX31" s="5">
        <v>0</v>
      </c>
      <c r="AY31" s="5">
        <v>0</v>
      </c>
      <c r="AZ31" s="5">
        <v>0</v>
      </c>
    </row>
    <row r="32" spans="1:52" x14ac:dyDescent="0.35">
      <c r="A32" t="str">
        <f t="shared" si="0"/>
        <v>D74B7A4C-0090-B92B-C35E-5A8C8AEA27E9</v>
      </c>
      <c r="B32" s="1">
        <v>3</v>
      </c>
      <c r="C32" s="1">
        <v>1</v>
      </c>
      <c r="D32" s="1">
        <v>1</v>
      </c>
      <c r="E32" s="6">
        <v>45</v>
      </c>
      <c r="F32" s="5">
        <v>1</v>
      </c>
      <c r="G32" s="5">
        <v>1</v>
      </c>
      <c r="H32" s="5">
        <v>1</v>
      </c>
      <c r="I32" s="5">
        <v>1</v>
      </c>
      <c r="J32" s="5">
        <v>0</v>
      </c>
      <c r="K32" s="5">
        <v>1</v>
      </c>
      <c r="L32" s="5">
        <v>1</v>
      </c>
      <c r="M32" s="5">
        <v>0</v>
      </c>
      <c r="N32" s="5">
        <v>1</v>
      </c>
      <c r="O32" s="5">
        <v>1</v>
      </c>
      <c r="P32" s="5">
        <v>1</v>
      </c>
      <c r="Q32" s="5">
        <v>0</v>
      </c>
      <c r="R32" s="5">
        <v>0</v>
      </c>
      <c r="S32" s="5">
        <v>0</v>
      </c>
      <c r="T32" s="5">
        <v>0</v>
      </c>
      <c r="U32" s="5">
        <v>1</v>
      </c>
      <c r="V32" s="5">
        <v>1</v>
      </c>
      <c r="W32" s="5">
        <v>0</v>
      </c>
      <c r="X32" s="5">
        <v>1</v>
      </c>
      <c r="Y32" s="5">
        <v>0</v>
      </c>
      <c r="Z32" s="5">
        <v>1</v>
      </c>
      <c r="AA32" s="5">
        <v>1</v>
      </c>
      <c r="AB32" s="6">
        <v>1</v>
      </c>
      <c r="AC32" s="5">
        <v>0</v>
      </c>
      <c r="AD32" s="5">
        <v>1</v>
      </c>
      <c r="AE32" s="5">
        <v>1</v>
      </c>
      <c r="AF32" s="5">
        <v>1</v>
      </c>
      <c r="AG32" s="5">
        <v>0</v>
      </c>
      <c r="AH32" s="5">
        <v>1</v>
      </c>
      <c r="AI32" s="5">
        <v>0</v>
      </c>
      <c r="AJ32" s="5">
        <v>0</v>
      </c>
      <c r="AK32" s="5">
        <v>0</v>
      </c>
      <c r="AL32" s="5">
        <v>0</v>
      </c>
      <c r="AM32" t="str">
        <f t="shared" si="1"/>
        <v>B205C009-3EF3-1195-1439-9E9C2E1DB27B</v>
      </c>
      <c r="AN32" s="1" t="s">
        <v>6969</v>
      </c>
      <c r="AO32" s="1">
        <v>0</v>
      </c>
      <c r="AP32" s="1">
        <v>0</v>
      </c>
      <c r="AQ32" s="6" t="s">
        <v>6979</v>
      </c>
      <c r="AR32" s="6" t="s">
        <v>6924</v>
      </c>
      <c r="AS32" t="s">
        <v>4432</v>
      </c>
      <c r="AT32">
        <v>0</v>
      </c>
      <c r="AU32" s="5">
        <v>0</v>
      </c>
      <c r="AV32" s="5">
        <v>0</v>
      </c>
      <c r="AW32" s="5">
        <v>0</v>
      </c>
      <c r="AX32" s="5">
        <v>0</v>
      </c>
      <c r="AY32" s="5">
        <v>0</v>
      </c>
      <c r="AZ32" s="5">
        <v>1</v>
      </c>
    </row>
    <row r="33" spans="1:52" x14ac:dyDescent="0.35">
      <c r="A33" t="str">
        <f t="shared" si="0"/>
        <v>0DF29315-7CF5-065A-3FAB-97C796AF71A9</v>
      </c>
      <c r="B33" s="1">
        <v>3</v>
      </c>
      <c r="C33" s="1">
        <v>1</v>
      </c>
      <c r="D33" s="1">
        <v>1</v>
      </c>
      <c r="E33" s="6">
        <v>45</v>
      </c>
      <c r="F33" s="5">
        <v>1</v>
      </c>
      <c r="G33" s="5">
        <v>0</v>
      </c>
      <c r="H33" s="5">
        <v>0</v>
      </c>
      <c r="I33" s="5">
        <v>0</v>
      </c>
      <c r="J33" s="5">
        <v>0</v>
      </c>
      <c r="K33" s="5">
        <v>0</v>
      </c>
      <c r="L33" s="5">
        <v>1</v>
      </c>
      <c r="M33" s="5">
        <v>0</v>
      </c>
      <c r="N33" s="5">
        <v>0</v>
      </c>
      <c r="O33" s="5">
        <v>1</v>
      </c>
      <c r="P33" s="5">
        <v>1</v>
      </c>
      <c r="Q33" s="5">
        <v>0</v>
      </c>
      <c r="R33" s="5">
        <v>0</v>
      </c>
      <c r="S33" s="5">
        <v>0</v>
      </c>
      <c r="T33" s="5">
        <v>0</v>
      </c>
      <c r="U33" s="5">
        <v>1</v>
      </c>
      <c r="V33" s="5">
        <v>1</v>
      </c>
      <c r="W33" s="5">
        <v>0</v>
      </c>
      <c r="X33" s="5">
        <v>1</v>
      </c>
      <c r="Y33" s="5">
        <v>0</v>
      </c>
      <c r="Z33" s="5">
        <v>1</v>
      </c>
      <c r="AA33" s="5">
        <v>1</v>
      </c>
      <c r="AB33" s="6">
        <v>1</v>
      </c>
      <c r="AC33" s="5">
        <v>0</v>
      </c>
      <c r="AD33" s="5">
        <v>1</v>
      </c>
      <c r="AE33" s="5">
        <v>1</v>
      </c>
      <c r="AF33" s="5">
        <v>0</v>
      </c>
      <c r="AG33" s="5">
        <v>0</v>
      </c>
      <c r="AH33" s="5">
        <v>1</v>
      </c>
      <c r="AI33" s="5">
        <v>0</v>
      </c>
      <c r="AJ33" s="5">
        <v>0</v>
      </c>
      <c r="AK33" s="5">
        <v>0</v>
      </c>
      <c r="AL33" s="5">
        <v>0</v>
      </c>
      <c r="AM33" t="str">
        <f t="shared" si="1"/>
        <v>34178C86-1874-80BD-D4AA-720D06CBEB91</v>
      </c>
      <c r="AN33" s="1" t="s">
        <v>6956</v>
      </c>
      <c r="AO33" s="1">
        <v>0</v>
      </c>
      <c r="AP33" s="1">
        <v>0</v>
      </c>
      <c r="AQ33" s="6" t="s">
        <v>6980</v>
      </c>
      <c r="AR33" s="6" t="s">
        <v>6917</v>
      </c>
      <c r="AS33" t="s">
        <v>4427</v>
      </c>
      <c r="AT33">
        <v>0</v>
      </c>
      <c r="AU33" s="5">
        <v>0</v>
      </c>
      <c r="AV33" s="5">
        <v>0</v>
      </c>
      <c r="AW33" s="5">
        <v>0</v>
      </c>
      <c r="AX33" s="5">
        <v>0</v>
      </c>
      <c r="AY33" s="5">
        <v>0</v>
      </c>
      <c r="AZ33" s="5">
        <v>0</v>
      </c>
    </row>
    <row r="34" spans="1:52" x14ac:dyDescent="0.35">
      <c r="A34" t="str">
        <f t="shared" si="0"/>
        <v>6293EEC5-075B-1289-4309-7598BBF4431B</v>
      </c>
      <c r="B34" s="1">
        <v>0</v>
      </c>
      <c r="C34" s="1">
        <v>2</v>
      </c>
      <c r="D34" s="1">
        <v>1</v>
      </c>
      <c r="E34" s="6">
        <v>30</v>
      </c>
      <c r="F34" s="5">
        <v>0</v>
      </c>
      <c r="G34" s="5">
        <v>0</v>
      </c>
      <c r="H34" s="5">
        <v>0</v>
      </c>
      <c r="I34" s="5">
        <v>0</v>
      </c>
      <c r="J34" s="5">
        <v>0</v>
      </c>
      <c r="K34" s="5">
        <v>0</v>
      </c>
      <c r="L34" s="5">
        <v>0</v>
      </c>
      <c r="M34" s="5">
        <v>0</v>
      </c>
      <c r="N34" s="5">
        <v>0</v>
      </c>
      <c r="O34" s="5">
        <v>1</v>
      </c>
      <c r="P34" s="5">
        <v>1</v>
      </c>
      <c r="Q34" s="5">
        <v>1</v>
      </c>
      <c r="R34" s="5">
        <v>0</v>
      </c>
      <c r="S34" s="5">
        <v>0</v>
      </c>
      <c r="T34" s="5">
        <v>0</v>
      </c>
      <c r="U34" s="5">
        <v>0</v>
      </c>
      <c r="V34" s="5">
        <v>1</v>
      </c>
      <c r="W34" s="5">
        <v>0</v>
      </c>
      <c r="X34" s="5">
        <v>0</v>
      </c>
      <c r="Y34" s="5">
        <v>0</v>
      </c>
      <c r="Z34" s="5">
        <v>0</v>
      </c>
      <c r="AA34" s="5">
        <v>0</v>
      </c>
      <c r="AB34" s="6">
        <v>1</v>
      </c>
      <c r="AC34" s="5">
        <v>0</v>
      </c>
      <c r="AD34" s="5">
        <v>0</v>
      </c>
      <c r="AE34" s="5">
        <v>0</v>
      </c>
      <c r="AF34" s="5">
        <v>0</v>
      </c>
      <c r="AG34" s="5">
        <v>0</v>
      </c>
      <c r="AH34" s="5">
        <v>1</v>
      </c>
      <c r="AI34" s="5">
        <v>0</v>
      </c>
      <c r="AJ34" s="5">
        <v>1</v>
      </c>
      <c r="AK34" s="5">
        <v>0</v>
      </c>
      <c r="AL34" s="5">
        <v>0</v>
      </c>
      <c r="AM34" t="str">
        <f t="shared" si="1"/>
        <v>34178C86-1874-80BD-D4AA-720D06CBEB91</v>
      </c>
      <c r="AN34" s="1" t="s">
        <v>6956</v>
      </c>
      <c r="AO34" s="1">
        <v>0</v>
      </c>
      <c r="AP34" s="1">
        <v>0</v>
      </c>
      <c r="AQ34" s="6" t="s">
        <v>6996</v>
      </c>
      <c r="AR34" s="6" t="s">
        <v>6915</v>
      </c>
      <c r="AS34" t="s">
        <v>4425</v>
      </c>
      <c r="AT34">
        <v>0</v>
      </c>
      <c r="AU34" s="5">
        <v>0</v>
      </c>
      <c r="AV34" s="5">
        <v>0</v>
      </c>
      <c r="AW34" s="5">
        <v>0</v>
      </c>
      <c r="AX34" s="5">
        <v>0</v>
      </c>
      <c r="AY34" s="5">
        <v>0</v>
      </c>
      <c r="AZ34" s="5">
        <v>0</v>
      </c>
    </row>
    <row r="35" spans="1:52" x14ac:dyDescent="0.35">
      <c r="A35" t="str">
        <f t="shared" si="0"/>
        <v>3A993E9D-FB05-AF08-5CB9-71FAD0C72303</v>
      </c>
      <c r="B35" s="1">
        <v>0</v>
      </c>
      <c r="C35" s="1">
        <v>1</v>
      </c>
      <c r="D35" s="1">
        <v>1</v>
      </c>
      <c r="E35" s="6">
        <v>30</v>
      </c>
      <c r="F35" s="5">
        <v>1</v>
      </c>
      <c r="G35" s="5">
        <v>0</v>
      </c>
      <c r="H35" s="5">
        <v>0</v>
      </c>
      <c r="I35" s="5">
        <v>0</v>
      </c>
      <c r="J35" s="5">
        <v>0</v>
      </c>
      <c r="K35" s="5">
        <v>0</v>
      </c>
      <c r="L35" s="5">
        <v>1</v>
      </c>
      <c r="M35" s="5">
        <v>0</v>
      </c>
      <c r="N35" s="5">
        <v>0</v>
      </c>
      <c r="O35" s="5">
        <v>1</v>
      </c>
      <c r="P35" s="5">
        <v>1</v>
      </c>
      <c r="Q35" s="5">
        <v>0</v>
      </c>
      <c r="R35" s="5">
        <v>0</v>
      </c>
      <c r="S35" s="5">
        <v>0</v>
      </c>
      <c r="T35" s="5">
        <v>0</v>
      </c>
      <c r="U35" s="5">
        <v>0</v>
      </c>
      <c r="V35" s="5">
        <v>1</v>
      </c>
      <c r="W35" s="5">
        <v>0</v>
      </c>
      <c r="X35" s="5">
        <v>0</v>
      </c>
      <c r="Y35" s="5">
        <v>0</v>
      </c>
      <c r="Z35" s="5">
        <v>0</v>
      </c>
      <c r="AA35" s="5">
        <v>0</v>
      </c>
      <c r="AB35" s="6">
        <v>1</v>
      </c>
      <c r="AC35" s="5">
        <v>0</v>
      </c>
      <c r="AD35" s="5">
        <v>0</v>
      </c>
      <c r="AE35" s="5">
        <v>0</v>
      </c>
      <c r="AF35" s="5">
        <v>0</v>
      </c>
      <c r="AG35" s="5">
        <v>0</v>
      </c>
      <c r="AH35" s="5">
        <v>1</v>
      </c>
      <c r="AI35" s="5">
        <v>0</v>
      </c>
      <c r="AJ35" s="5">
        <v>0</v>
      </c>
      <c r="AK35" s="5">
        <v>0</v>
      </c>
      <c r="AL35" s="5">
        <v>1</v>
      </c>
      <c r="AM35" t="str">
        <f t="shared" si="1"/>
        <v>34178C86-1874-80BD-D4AA-720D06CBEB91</v>
      </c>
      <c r="AN35" s="1" t="s">
        <v>6956</v>
      </c>
      <c r="AO35" s="1">
        <v>0</v>
      </c>
      <c r="AP35" s="1">
        <v>0</v>
      </c>
      <c r="AQ35" s="6" t="s">
        <v>6997</v>
      </c>
      <c r="AR35" s="6" t="s">
        <v>6998</v>
      </c>
      <c r="AS35" t="s">
        <v>4424</v>
      </c>
      <c r="AT35">
        <v>0</v>
      </c>
      <c r="AU35" s="5">
        <v>0</v>
      </c>
      <c r="AV35" s="5">
        <v>0</v>
      </c>
      <c r="AW35" s="5">
        <v>1</v>
      </c>
      <c r="AX35" s="5">
        <v>0</v>
      </c>
      <c r="AY35" s="5">
        <v>0</v>
      </c>
      <c r="AZ35" s="5">
        <v>0</v>
      </c>
    </row>
  </sheetData>
  <phoneticPr fontId="1" type="noConversion"/>
  <conditionalFormatting sqref="AD2:AD35 X2:AA35 T2:U35 A2:C35">
    <cfRule type="expression" dxfId="179" priority="5">
      <formula>ISBLANK(A2)</formula>
    </cfRule>
  </conditionalFormatting>
  <conditionalFormatting sqref="F2:F35">
    <cfRule type="iconSet" priority="2355">
      <iconSet iconSet="3Symbols2" showValue="0">
        <cfvo type="percent" val="0"/>
        <cfvo type="num" val="0.5"/>
        <cfvo type="num" val="1"/>
      </iconSet>
    </cfRule>
    <cfRule type="expression" dxfId="178" priority="2356">
      <formula>ISBLANK(F2)</formula>
    </cfRule>
  </conditionalFormatting>
  <conditionalFormatting sqref="G2:G35">
    <cfRule type="iconSet" priority="2359">
      <iconSet iconSet="3Symbols2" showValue="0">
        <cfvo type="percent" val="0"/>
        <cfvo type="num" val="0.5"/>
        <cfvo type="num" val="1"/>
      </iconSet>
    </cfRule>
    <cfRule type="expression" dxfId="177" priority="2360">
      <formula>ISBLANK(G2)</formula>
    </cfRule>
  </conditionalFormatting>
  <conditionalFormatting sqref="H2:H35">
    <cfRule type="iconSet" priority="2363">
      <iconSet iconSet="3Symbols2" showValue="0">
        <cfvo type="percent" val="0"/>
        <cfvo type="num" val="0.5"/>
        <cfvo type="num" val="1"/>
      </iconSet>
    </cfRule>
    <cfRule type="expression" dxfId="176" priority="2364">
      <formula>ISBLANK(H2)</formula>
    </cfRule>
  </conditionalFormatting>
  <conditionalFormatting sqref="I2:I35">
    <cfRule type="iconSet" priority="2367">
      <iconSet iconSet="3Symbols2" showValue="0">
        <cfvo type="percent" val="0"/>
        <cfvo type="num" val="0.5"/>
        <cfvo type="num" val="1"/>
      </iconSet>
    </cfRule>
    <cfRule type="expression" dxfId="175" priority="2368">
      <formula>ISBLANK(I2)</formula>
    </cfRule>
  </conditionalFormatting>
  <conditionalFormatting sqref="J2:J35">
    <cfRule type="iconSet" priority="2371">
      <iconSet iconSet="3Symbols2" showValue="0">
        <cfvo type="percent" val="0"/>
        <cfvo type="num" val="0.5"/>
        <cfvo type="num" val="1"/>
      </iconSet>
    </cfRule>
    <cfRule type="expression" dxfId="174" priority="2372">
      <formula>ISBLANK(J2)</formula>
    </cfRule>
  </conditionalFormatting>
  <conditionalFormatting sqref="K2:K35">
    <cfRule type="iconSet" priority="2375">
      <iconSet iconSet="3Symbols2" showValue="0">
        <cfvo type="percent" val="0"/>
        <cfvo type="num" val="0.5"/>
        <cfvo type="num" val="1"/>
      </iconSet>
    </cfRule>
    <cfRule type="expression" dxfId="173" priority="2376">
      <formula>ISBLANK(K2)</formula>
    </cfRule>
  </conditionalFormatting>
  <conditionalFormatting sqref="L2:L35">
    <cfRule type="iconSet" priority="2379">
      <iconSet iconSet="3Symbols2" showValue="0">
        <cfvo type="percent" val="0"/>
        <cfvo type="num" val="0.5"/>
        <cfvo type="num" val="1"/>
      </iconSet>
    </cfRule>
    <cfRule type="expression" dxfId="172" priority="2380">
      <formula>ISBLANK(L2)</formula>
    </cfRule>
  </conditionalFormatting>
  <conditionalFormatting sqref="M2:M35">
    <cfRule type="iconSet" priority="2383">
      <iconSet iconSet="3Symbols2" showValue="0">
        <cfvo type="percent" val="0"/>
        <cfvo type="num" val="0.5"/>
        <cfvo type="num" val="1"/>
      </iconSet>
    </cfRule>
    <cfRule type="expression" dxfId="171" priority="2384">
      <formula>ISBLANK(M2)</formula>
    </cfRule>
  </conditionalFormatting>
  <conditionalFormatting sqref="N2:N35">
    <cfRule type="iconSet" priority="2387">
      <iconSet iconSet="3Symbols2" showValue="0">
        <cfvo type="percent" val="0"/>
        <cfvo type="num" val="0.5"/>
        <cfvo type="num" val="1"/>
      </iconSet>
    </cfRule>
    <cfRule type="expression" dxfId="170" priority="2388">
      <formula>ISBLANK(N2)</formula>
    </cfRule>
  </conditionalFormatting>
  <conditionalFormatting sqref="O2:O35">
    <cfRule type="iconSet" priority="2391">
      <iconSet iconSet="3Symbols2" showValue="0">
        <cfvo type="percent" val="0"/>
        <cfvo type="num" val="0.5"/>
        <cfvo type="num" val="1"/>
      </iconSet>
    </cfRule>
    <cfRule type="expression" dxfId="169" priority="2392">
      <formula>ISBLANK(O2)</formula>
    </cfRule>
  </conditionalFormatting>
  <conditionalFormatting sqref="P2:P35">
    <cfRule type="iconSet" priority="2395">
      <iconSet iconSet="3Symbols2" showValue="0">
        <cfvo type="percent" val="0"/>
        <cfvo type="num" val="0.5"/>
        <cfvo type="num" val="1"/>
      </iconSet>
    </cfRule>
    <cfRule type="expression" dxfId="168" priority="2396">
      <formula>ISBLANK(P2)</formula>
    </cfRule>
  </conditionalFormatting>
  <conditionalFormatting sqref="Q2:Q35">
    <cfRule type="iconSet" priority="2399">
      <iconSet iconSet="3Symbols2" showValue="0">
        <cfvo type="percent" val="0"/>
        <cfvo type="num" val="0.5"/>
        <cfvo type="num" val="1"/>
      </iconSet>
    </cfRule>
  </conditionalFormatting>
  <conditionalFormatting sqref="R2:R35">
    <cfRule type="iconSet" priority="2401">
      <iconSet iconSet="3Symbols2" showValue="0">
        <cfvo type="percent" val="0"/>
        <cfvo type="num" val="0.5"/>
        <cfvo type="num" val="1"/>
      </iconSet>
    </cfRule>
  </conditionalFormatting>
  <conditionalFormatting sqref="S2:S35">
    <cfRule type="iconSet" priority="2403">
      <iconSet iconSet="3Symbols2" showValue="0">
        <cfvo type="percent" val="0"/>
        <cfvo type="num" val="0.5"/>
        <cfvo type="num" val="1"/>
      </iconSet>
    </cfRule>
  </conditionalFormatting>
  <conditionalFormatting sqref="T2:T35">
    <cfRule type="iconSet" priority="2405">
      <iconSet iconSet="3Symbols2" showValue="0">
        <cfvo type="percent" val="0"/>
        <cfvo type="num" val="0.5"/>
        <cfvo type="num" val="1"/>
      </iconSet>
    </cfRule>
  </conditionalFormatting>
  <conditionalFormatting sqref="U2:U35">
    <cfRule type="iconSet" priority="2407">
      <iconSet iconSet="3Symbols2" showValue="0">
        <cfvo type="percent" val="0"/>
        <cfvo type="num" val="0.5"/>
        <cfvo type="num" val="1"/>
      </iconSet>
    </cfRule>
  </conditionalFormatting>
  <conditionalFormatting sqref="V2:V35">
    <cfRule type="iconSet" priority="2409">
      <iconSet iconSet="3Symbols2" showValue="0">
        <cfvo type="percent" val="0"/>
        <cfvo type="num" val="0.5"/>
        <cfvo type="num" val="1"/>
      </iconSet>
    </cfRule>
  </conditionalFormatting>
  <conditionalFormatting sqref="W2:W35">
    <cfRule type="iconSet" priority="2411">
      <iconSet iconSet="3Symbols2" showValue="0">
        <cfvo type="percent" val="0"/>
        <cfvo type="num" val="0.5"/>
        <cfvo type="num" val="1"/>
      </iconSet>
    </cfRule>
  </conditionalFormatting>
  <conditionalFormatting sqref="X2:X35">
    <cfRule type="iconSet" priority="2413">
      <iconSet iconSet="3Symbols2" showValue="0">
        <cfvo type="percent" val="0"/>
        <cfvo type="num" val="0.5"/>
        <cfvo type="num" val="1"/>
      </iconSet>
    </cfRule>
  </conditionalFormatting>
  <conditionalFormatting sqref="Y2:Y35">
    <cfRule type="iconSet" priority="2415">
      <iconSet iconSet="3Symbols2" showValue="0">
        <cfvo type="percent" val="0"/>
        <cfvo type="num" val="0.5"/>
        <cfvo type="num" val="1"/>
      </iconSet>
    </cfRule>
  </conditionalFormatting>
  <conditionalFormatting sqref="Z2:Z35">
    <cfRule type="iconSet" priority="2417">
      <iconSet iconSet="3Symbols2" showValue="0">
        <cfvo type="percent" val="0"/>
        <cfvo type="num" val="0.5"/>
        <cfvo type="num" val="1"/>
      </iconSet>
    </cfRule>
  </conditionalFormatting>
  <conditionalFormatting sqref="AA2:AA35">
    <cfRule type="iconSet" priority="2419">
      <iconSet iconSet="3Symbols2" showValue="0">
        <cfvo type="percent" val="0"/>
        <cfvo type="num" val="0.5"/>
        <cfvo type="num" val="1"/>
      </iconSet>
    </cfRule>
  </conditionalFormatting>
  <conditionalFormatting sqref="AC2:AC35">
    <cfRule type="iconSet" priority="2421">
      <iconSet iconSet="3Symbols2" showValue="0">
        <cfvo type="percent" val="0"/>
        <cfvo type="num" val="0.5"/>
        <cfvo type="num" val="1"/>
      </iconSet>
    </cfRule>
  </conditionalFormatting>
  <conditionalFormatting sqref="AD2:AD35">
    <cfRule type="iconSet" priority="2423">
      <iconSet iconSet="3Symbols2" showValue="0">
        <cfvo type="percent" val="0"/>
        <cfvo type="num" val="0.5"/>
        <cfvo type="num" val="1"/>
      </iconSet>
    </cfRule>
  </conditionalFormatting>
  <conditionalFormatting sqref="AE2:AE35">
    <cfRule type="iconSet" priority="2425">
      <iconSet iconSet="3Symbols2" showValue="0">
        <cfvo type="percent" val="0"/>
        <cfvo type="num" val="0.5"/>
        <cfvo type="num" val="1"/>
      </iconSet>
    </cfRule>
  </conditionalFormatting>
  <conditionalFormatting sqref="AF2:AF35">
    <cfRule type="iconSet" priority="2427">
      <iconSet iconSet="3Symbols2" showValue="0">
        <cfvo type="percent" val="0"/>
        <cfvo type="num" val="0.5"/>
        <cfvo type="num" val="1"/>
      </iconSet>
    </cfRule>
  </conditionalFormatting>
  <conditionalFormatting sqref="AG2:AG35">
    <cfRule type="iconSet" priority="2429">
      <iconSet iconSet="3Symbols2" showValue="0">
        <cfvo type="percent" val="0"/>
        <cfvo type="num" val="0.5"/>
        <cfvo type="num" val="1"/>
      </iconSet>
    </cfRule>
  </conditionalFormatting>
  <conditionalFormatting sqref="AH2:AH35">
    <cfRule type="iconSet" priority="2431">
      <iconSet iconSet="3Symbols2" showValue="0">
        <cfvo type="percent" val="0"/>
        <cfvo type="num" val="0.5"/>
        <cfvo type="num" val="1"/>
      </iconSet>
    </cfRule>
  </conditionalFormatting>
  <conditionalFormatting sqref="AI2:AI35">
    <cfRule type="iconSet" priority="2433">
      <iconSet iconSet="3Symbols2" showValue="0">
        <cfvo type="percent" val="0"/>
        <cfvo type="num" val="0.5"/>
        <cfvo type="num" val="1"/>
      </iconSet>
    </cfRule>
  </conditionalFormatting>
  <conditionalFormatting sqref="AJ2:AJ35">
    <cfRule type="iconSet" priority="2435">
      <iconSet iconSet="3Symbols2" showValue="0">
        <cfvo type="percent" val="0"/>
        <cfvo type="num" val="0.5"/>
        <cfvo type="num" val="1"/>
      </iconSet>
    </cfRule>
  </conditionalFormatting>
  <conditionalFormatting sqref="AK2:AK35">
    <cfRule type="iconSet" priority="2437">
      <iconSet iconSet="3Symbols2" showValue="0">
        <cfvo type="percent" val="0"/>
        <cfvo type="num" val="0.5"/>
        <cfvo type="num" val="1"/>
      </iconSet>
    </cfRule>
  </conditionalFormatting>
  <conditionalFormatting sqref="AL2:AL35">
    <cfRule type="iconSet" priority="2439">
      <iconSet iconSet="3Symbols2" showValue="0">
        <cfvo type="percent" val="0"/>
        <cfvo type="num" val="0.5"/>
        <cfvo type="num" val="1"/>
      </iconSet>
    </cfRule>
  </conditionalFormatting>
  <conditionalFormatting sqref="AZ2:AZ35">
    <cfRule type="iconSet" priority="2441">
      <iconSet iconSet="3Symbols2" showValue="0">
        <cfvo type="percent" val="0"/>
        <cfvo type="num" val="0.5"/>
        <cfvo type="num" val="1"/>
      </iconSet>
    </cfRule>
  </conditionalFormatting>
  <conditionalFormatting sqref="AU2:AU35">
    <cfRule type="iconSet" priority="2443">
      <iconSet iconSet="3Symbols2" showValue="0">
        <cfvo type="percent" val="0"/>
        <cfvo type="num" val="0.5"/>
        <cfvo type="num" val="1"/>
      </iconSet>
    </cfRule>
  </conditionalFormatting>
  <conditionalFormatting sqref="AW2:AY35">
    <cfRule type="iconSet" priority="2">
      <iconSet iconSet="3Symbols2" showValue="0">
        <cfvo type="percent" val="0"/>
        <cfvo type="num" val="0.5"/>
        <cfvo type="num" val="1"/>
      </iconSet>
    </cfRule>
  </conditionalFormatting>
  <conditionalFormatting sqref="AV2:AV35">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B2:D35 AN2:AP35" xr:uid="{759672AB-5B0F-4C29-9EC9-D0816489DCE9}">
      <formula1>-2147483648</formula1>
      <formula2>2147483647</formula2>
    </dataValidation>
    <dataValidation type="textLength" errorStyle="warning" operator="lessThanOrEqual" allowBlank="1" showInputMessage="1" showErrorMessage="1" sqref="AS2:AT35" xr:uid="{16D9415C-06B0-4AA8-B84E-DA13361B84D0}">
      <formula1>20</formula1>
    </dataValidation>
    <dataValidation type="textLength" errorStyle="warning" operator="equal" allowBlank="1" showInputMessage="1" showErrorMessage="1" sqref="A2:A35" xr:uid="{A0BB7C55-1618-4988-8391-523037199DB0}">
      <formula1>36</formula1>
    </dataValidation>
    <dataValidation type="textLength" errorStyle="warning" operator="lessThanOrEqual" allowBlank="1" showInputMessage="1" showErrorMessage="1" sqref="AQ2:AR35 AB2:AB35 E2:E35" xr:uid="{9B959436-0BB6-4412-BE59-78063D9EB7A2}">
      <formula1>100</formula1>
    </dataValidation>
    <dataValidation type="list" allowBlank="1" showInputMessage="1" showErrorMessage="1" sqref="AM2:AM35"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c r="C2" t="s">
        <v>7102</v>
      </c>
    </row>
    <row r="3" spans="1:3" x14ac:dyDescent="0.35">
      <c r="A3" t="s">
        <v>7052</v>
      </c>
      <c r="B3" t="s">
        <v>7052</v>
      </c>
      <c r="C3" t="s">
        <v>7103</v>
      </c>
    </row>
    <row r="4" spans="1:3" x14ac:dyDescent="0.35">
      <c r="A4" t="s">
        <v>7053</v>
      </c>
      <c r="B4" t="s">
        <v>7053</v>
      </c>
      <c r="C4" t="s">
        <v>7104</v>
      </c>
    </row>
    <row r="5" spans="1:3" x14ac:dyDescent="0.35">
      <c r="A5" t="s">
        <v>7054</v>
      </c>
      <c r="B5" t="s">
        <v>7054</v>
      </c>
      <c r="C5" t="s">
        <v>7105</v>
      </c>
    </row>
    <row r="6" spans="1:3" x14ac:dyDescent="0.35">
      <c r="A6" t="s">
        <v>7055</v>
      </c>
      <c r="B6" t="s">
        <v>7055</v>
      </c>
      <c r="C6" t="s">
        <v>7105</v>
      </c>
    </row>
    <row r="7" spans="1:3" x14ac:dyDescent="0.35">
      <c r="A7" t="s">
        <v>7056</v>
      </c>
      <c r="B7" t="s">
        <v>7056</v>
      </c>
      <c r="C7" t="s">
        <v>7105</v>
      </c>
    </row>
    <row r="8" spans="1:3" x14ac:dyDescent="0.35">
      <c r="A8" t="s">
        <v>7057</v>
      </c>
      <c r="B8" t="s">
        <v>7057</v>
      </c>
      <c r="C8" t="s">
        <v>7105</v>
      </c>
    </row>
    <row r="9" spans="1:3" x14ac:dyDescent="0.35">
      <c r="A9" t="s">
        <v>7058</v>
      </c>
      <c r="B9" t="s">
        <v>7058</v>
      </c>
      <c r="C9" t="s">
        <v>7105</v>
      </c>
    </row>
    <row r="10" spans="1:3" x14ac:dyDescent="0.35">
      <c r="A10" t="s">
        <v>7059</v>
      </c>
      <c r="B10" t="s">
        <v>7059</v>
      </c>
      <c r="C10" t="s">
        <v>7105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2026-04-19T06:36:40Z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