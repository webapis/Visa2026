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D701CDA9-4F01-43FC-94EA-37280AABC1F4}" xr6:coauthVersionLast="47" xr6:coauthVersionMax="47" xr10:uidLastSave="{00000000-0000-0000-0000-000000000000}"/>
  <bookViews>
    <workbookView xWindow="-110" yWindow="-110" windowWidth="38620" windowHeight="21100" tabRatio="596" firstSheet="19"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ApplicationType!$A$1:$AX$33</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ApplicationType!$A$1:$AX$33</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13" i="8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AM3" i="186"/>
  <c r="AM9" i="186"/>
  <c r="AM6" i="186"/>
  <c r="A25" i="186"/>
  <c r="AM26" i="186"/>
  <c r="A28" i="186"/>
  <c r="AM17" i="186"/>
  <c r="A12" i="186"/>
  <c r="A18" i="186"/>
  <c r="AM13" i="186"/>
  <c r="B187" i="167"/>
  <c r="B600" i="167"/>
  <c r="B552" i="167"/>
  <c r="B601" i="167"/>
  <c r="B568" i="167"/>
  <c r="B2" i="122"/>
  <c r="B180" i="144"/>
  <c r="B191" i="144"/>
  <c r="B94" i="144"/>
  <c r="B147" i="144"/>
  <c r="B192" i="144"/>
  <c r="A22" i="186"/>
  <c r="AM5" i="186"/>
  <c r="B599" i="167"/>
  <c r="B726" i="167"/>
  <c r="B304" i="167"/>
  <c r="B366" i="167"/>
  <c r="B353" i="167"/>
  <c r="B3" i="122"/>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AM18" i="186"/>
  <c r="A19" i="186"/>
  <c r="AM10" i="186"/>
  <c r="AM19" i="186"/>
  <c r="A6" i="186"/>
  <c r="AM21" i="186"/>
  <c r="B782" i="167"/>
  <c r="B18" i="144"/>
  <c r="B348" i="167"/>
  <c r="B182" i="144"/>
  <c r="B61" i="144"/>
  <c r="AM15" i="186"/>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A31" i="186"/>
  <c r="AM7" i="186"/>
  <c r="A26" i="186"/>
  <c r="AM4" i="186"/>
  <c r="A8" i="186"/>
  <c r="AM22" i="186"/>
  <c r="A13" i="186"/>
  <c r="AM30" i="186"/>
  <c r="A16" i="186"/>
  <c r="B880" i="167"/>
  <c r="B90" i="167"/>
  <c r="B520" i="167"/>
  <c r="B83" i="167"/>
  <c r="B446" i="167"/>
  <c r="B631" i="167"/>
  <c r="B381" i="167"/>
  <c r="B20" i="142"/>
  <c r="B17" i="144"/>
  <c r="B20" i="144"/>
  <c r="B97" i="144"/>
  <c r="B208" i="144"/>
  <c r="B120" i="144"/>
  <c r="B130" i="144"/>
  <c r="B117" i="144"/>
  <c r="B26" i="144"/>
  <c r="B49" i="144"/>
  <c r="B90" i="144"/>
  <c r="AM27" i="186"/>
  <c r="B627" i="167"/>
  <c r="B482" i="167"/>
  <c r="B71" i="167"/>
  <c r="B10" i="142"/>
  <c r="B64" i="144"/>
  <c r="B215" i="144"/>
  <c r="B88" i="144"/>
  <c r="B129" i="144"/>
  <c r="B9" i="144"/>
  <c r="B219" i="144"/>
  <c r="B96" i="144"/>
  <c r="B144" i="144"/>
  <c r="B177" i="144"/>
  <c r="B8" i="169"/>
  <c r="A9" i="186"/>
  <c r="AM32" i="186"/>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A3" i="186"/>
  <c r="AM12" i="186"/>
  <c r="AM16" i="186"/>
  <c r="A10" i="186"/>
  <c r="AM20" i="186"/>
  <c r="A21" i="186"/>
  <c r="AM8" i="186"/>
  <c r="B484" i="165"/>
  <c r="B5" i="148"/>
  <c r="B119" i="144"/>
  <c r="B123" i="144"/>
  <c r="B150" i="144"/>
  <c r="B9" i="169"/>
  <c r="A23" i="186"/>
  <c r="B42" i="165"/>
  <c r="B460" i="167"/>
  <c r="B258" i="167"/>
  <c r="B937" i="167"/>
  <c r="B6" i="123"/>
  <c r="B187" i="144"/>
  <c r="B138" i="144"/>
  <c r="B224" i="144"/>
  <c r="B37" i="144"/>
  <c r="B44" i="144"/>
  <c r="B169" i="144"/>
  <c r="B168" i="144"/>
  <c r="B230" i="144"/>
  <c r="B92" i="144"/>
  <c r="B218" i="144"/>
  <c r="B113" i="144"/>
  <c r="A24" i="186"/>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AM11" i="186"/>
  <c r="A29" i="186"/>
  <c r="A30" i="186"/>
  <c r="A5" i="186"/>
  <c r="A7" i="186"/>
  <c r="AM14" i="186"/>
  <c r="A27" i="186"/>
  <c r="B553" i="165"/>
  <c r="B853" i="167"/>
  <c r="B121" i="167"/>
  <c r="B548" i="167"/>
  <c r="B5" i="123"/>
  <c r="B95" i="144"/>
  <c r="B137" i="144"/>
  <c r="B57" i="144"/>
  <c r="B170" i="144"/>
  <c r="B10" i="169"/>
  <c r="A32" i="186"/>
  <c r="B398" i="167"/>
  <c r="B784" i="167"/>
  <c r="B677" i="167"/>
  <c r="B462" i="167"/>
  <c r="B91" i="167"/>
  <c r="B895" i="167"/>
  <c r="B4" i="142"/>
  <c r="B176" i="144"/>
  <c r="AM25" i="186"/>
  <c r="AM31" i="186"/>
  <c r="A11" i="186"/>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AM24" i="186"/>
  <c r="A17" i="186"/>
  <c r="A14" i="186"/>
  <c r="A15" i="186"/>
  <c r="AM28" i="186"/>
  <c r="AM2" i="186"/>
  <c r="A20" i="186"/>
  <c r="AM29" i="186"/>
  <c r="B764" i="167"/>
  <c r="B231" i="167"/>
  <c r="B219" i="167"/>
  <c r="B7" i="142"/>
  <c r="B153" i="144"/>
  <c r="B104" i="144"/>
  <c r="B188" i="144"/>
  <c r="B7" i="144"/>
  <c r="B42" i="144"/>
  <c r="B174" i="144"/>
  <c r="AM23" i="186"/>
  <c r="AM33" i="186"/>
  <c r="B6" i="161"/>
  <c r="B374" i="167"/>
  <c r="B2" i="148"/>
  <c r="B110" i="144"/>
  <c r="B236" i="144"/>
  <c r="B102" i="144"/>
  <c r="B78" i="144"/>
  <c r="B223" i="144"/>
  <c r="B143" i="144"/>
  <c r="A4" i="186"/>
  <c r="A2" i="186"/>
  <c r="A33"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<sst xmlns="http://schemas.openxmlformats.org/spreadsheetml/2006/main" count="24597" uniqueCount="7102">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</sst>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3">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cellXfs>
  <cellStyles count="3">
    <cellStyle name="Hyperlink" xfId="1" builtinId="8"/>
    <cellStyle name="Normal" xfId="0" builtinId="0"/>
    <cellStyle name="Normal 3" xfId="2" xr:uid="{1F2623C8-B6CB-4123-B9E3-AB29B015A742}"/>
  </cellStyles>
  <dxfs count="178">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33"/>
    <tableColumn id="11" xr3:uid="{A6D05B8E-038D-414C-BC53-8151F5CBB664}" uniqueName="11" name="OptimisticLockField" queryTableFieldId="4" dataDxfId="132"/>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30"/>
    <tableColumn id="12" xr3:uid="{EBC77EB9-6CBA-4CAE-AA0D-74A35600A859}" uniqueName="12" name="GCRecord" queryTableFieldId="4" dataDxfId="129"/>
    <tableColumn id="13" xr3:uid="{120E2309-0EDF-443E-B7B5-407A7E55A1AF}" uniqueName="13" name="OptimisticLockField" queryTableFieldId="5" dataDxfId="128"/>
    <tableColumn id="1" xr3:uid="{4A830E3D-1DF0-4BB2-9D7A-DD237EC68D9E}" uniqueName="1" name="NameTm" queryTableFieldId="9" dataDxfId="127"/>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25"/>
    <tableColumn id="12" xr3:uid="{9926649C-71DA-48F9-A798-F1C1C841C9F2}" uniqueName="12" name="GCRecord" queryTableFieldId="4" dataDxfId="124"/>
    <tableColumn id="13" xr3:uid="{5A51C13D-DFCA-44E9-8FD9-279B94B53AFC}" uniqueName="13" name="OptimisticLockField" queryTableFieldId="5" dataDxfId="123"/>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2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21"/>
    <tableColumn id="12" xr3:uid="{14555CA9-8BE2-43E8-963D-B36D5BF813B9}" uniqueName="12" name="GCRecord" queryTableFieldId="4" dataDxfId="120"/>
    <tableColumn id="13" xr3:uid="{267A345C-1BEE-45CB-B5AF-C789F0165EEF}" uniqueName="13" name="OptimisticLockField" queryTableFieldId="5" dataDxfId="119"/>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17"/>
    <tableColumn id="12" xr3:uid="{52DCA0F4-87B3-4EFB-9D65-D371E1412504}" uniqueName="12" name="GCRecord" queryTableFieldId="4" dataDxfId="116"/>
    <tableColumn id="13" xr3:uid="{D4F54EB5-882E-4769-9716-7A16DA2B795F}" uniqueName="13" name="OptimisticLockField" queryTableFieldId="5" dataDxfId="115"/>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13"/>
    <tableColumn id="14" xr3:uid="{50007697-A1B9-4ED7-A39B-6D4A9C93B46D}" uniqueName="14" name="GCRecord" queryTableFieldId="5" dataDxfId="112"/>
    <tableColumn id="15" xr3:uid="{0C6C0522-7878-4075-B4BC-8ADCCCA83898}" uniqueName="15" name="OptimisticLockField" queryTableFieldId="6" dataDxfId="11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09"/>
    <tableColumn id="12" xr3:uid="{72C24980-06CA-45FB-BBFA-2E062C87A90C}" uniqueName="12" name="GCRecord" queryTableFieldId="4" dataDxfId="108"/>
    <tableColumn id="13" xr3:uid="{11AE3AF7-F2EA-4AB7-B2F6-BC9D35746218}" uniqueName="13" name="OptimisticLockField" queryTableFieldId="5" dataDxfId="107"/>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05"/>
    <tableColumn id="11" xr3:uid="{AE66CB2A-99EE-486F-AE82-207D89F017A3}" uniqueName="11" name="OptimisticLockField" queryTableFieldId="4" dataDxfId="104"/>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0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02"/>
    <tableColumn id="11" xr3:uid="{96EE9101-8E6C-4141-A753-EB0A60108792}" uniqueName="11" name="OptimisticLockField" queryTableFieldId="4" dataDxfId="101"/>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0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99"/>
    <tableColumn id="11" xr3:uid="{C4FCFDF9-4598-43B2-BB2D-AE4E9DF1A275}" uniqueName="11" name="OptimisticLockField" queryTableFieldId="4" dataDxfId="98"/>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9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96"/>
    <tableColumn id="11" xr3:uid="{6FDA7902-F7AB-4DD2-9A50-3016E056E72F}" uniqueName="11" name="OptimisticLockField" queryTableFieldId="4" dataDxfId="95"/>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9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93"/>
    <tableColumn id="13" xr3:uid="{9DF386D0-2BC3-482A-A36C-8C161F447BFF}" uniqueName="13" name="OptimisticLockField" queryTableFieldId="5" dataDxfId="9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9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90"/>
    <tableColumn id="11" xr3:uid="{08F5A698-BE49-4DBB-879F-6BD5DEE405A4}" uniqueName="11" name="OptimisticLockField" queryTableFieldId="4" dataDxfId="89"/>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8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87"/>
    <tableColumn id="11" xr3:uid="{368F2398-58E2-4E23-BBA7-52952098F05E}" uniqueName="11" name="OptimisticLockField" queryTableFieldId="4" dataDxfId="86"/>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8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84"/>
    <tableColumn id="11" xr3:uid="{B58CFFAD-A8C0-4613-BED3-ED65BCF06926}" uniqueName="11" name="OptimisticLockField" queryTableFieldId="4" dataDxfId="83"/>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8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81"/>
    <tableColumn id="11" xr3:uid="{7A9B5C6E-D855-4F54-B961-62D77DF83E65}" uniqueName="11" name="OptimisticLockField" queryTableFieldId="4" dataDxfId="80"/>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7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78"/>
    <tableColumn id="11" xr3:uid="{65653C79-77D7-438C-AA2E-EBF8B8FA40EB}" uniqueName="11" name="OptimisticLockField" queryTableFieldId="4" dataDxfId="77"/>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7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75"/>
    <tableColumn id="13" xr3:uid="{4AC9F23B-5931-42F5-8821-DDA0812A658E}" uniqueName="13" name="OptimisticLockField" queryTableFieldId="5" dataDxfId="74"/>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7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72"/>
    <tableColumn id="18" xr3:uid="{370B61A9-9348-4781-BDB1-1954EBBB4C96}" uniqueName="18" name="DateDeleted" queryTableFieldId="5" dataDxfId="71"/>
    <tableColumn id="19" xr3:uid="{6B4E7124-53F3-47BA-9372-2B31F6C92BA1}" uniqueName="19" name="DeletedByID" queryTableFieldId="6"/>
    <tableColumn id="20" xr3:uid="{4621463D-F7CB-4AB9-9362-FCED0F00AC45}" uniqueName="20" name="RegionName" queryTableFieldId="7" dataDxfId="70"/>
    <tableColumn id="21" xr3:uid="{E4D75A95-AB2C-47B8-940B-5978B1686F32}" uniqueName="21" name="PdfForm_Code" queryTableFieldId="8" dataDxfId="69"/>
    <tableColumn id="22" xr3:uid="{AA489FA6-829F-4470-8B1F-B3D2854A955C}" uniqueName="22" name="GCRecord" queryTableFieldId="9" dataDxfId="68"/>
    <tableColumn id="23" xr3:uid="{78D4D454-330A-4B61-8E87-D3178F3EED67}" uniqueName="23" name="OptimisticLockField" queryTableFieldId="10" dataDxfId="67"/>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6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65"/>
    <tableColumn id="13" xr3:uid="{83F16C2B-E66B-4A3F-ABD5-CCA5B523A32A}" uniqueName="13" name="OptimisticLockField" queryTableFieldId="4" dataDxfId="64"/>
    <tableColumn id="14" xr3:uid="{2FE70F49-1C4C-42E2-9EF6-08C12AF1B4A7}" uniqueName="14" name="Name" queryTableFieldId="5" dataDxfId="63"/>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62"/>
    <tableColumn id="18" xr3:uid="{79372FB8-9C37-4203-8A09-9E4D2883DE68}" uniqueName="18" name="Category" queryTableFieldId="9" dataDxfId="6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60"/>
    <tableColumn id="10" xr3:uid="{8EE5D2B0-2068-4371-9CC7-F51F0C6D1568}" uniqueName="10" name="OptimisticLockField" queryTableFieldId="4" dataDxfId="59"/>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3" tableType="queryTable" totalsRowShown="0">
  <autoFilter ref="A1:AX33" xr:uid="{FA110F7C-E107-4B61-AE5E-B2FA3AD1C2E9}"/>
  <sortState xmlns:xlrd2="http://schemas.microsoft.com/office/spreadsheetml/2017/richdata2" ref="A2:AX33">
    <sortCondition ref="AN2:AN33"/>
  </sortState>
  <tableColumns count="50">
    <tableColumn id="50" xr3:uid="{6B96CD9A-68C8-4815-84EB-4737B451FBD3}" uniqueName="50" name="ID" queryTableFieldId="2"/>
    <tableColumn id="51" xr3:uid="{5DE27CDF-54F1-4D1D-8A39-5C063C78A751}" uniqueName="51" name="PdfForm_Code" queryTableFieldId="3" dataDxfId="177"/>
    <tableColumn id="52" xr3:uid="{CF0A666A-CD3F-4DB6-89BA-024D792F6323}" uniqueName="52" name="LifecycleStage" queryTableFieldId="4" dataDxfId="176"/>
    <tableColumn id="53" xr3:uid="{E5721B19-D6CC-490B-8D93-C85A1E821C52}" uniqueName="53" name="Category" queryTableFieldId="5" dataDxfId="175"/>
    <tableColumn id="54" xr3:uid="{3342E92B-1B94-46B9-92F3-F7D3BD572EF4}" uniqueName="54" name="DurationInDays" queryTableFieldId="6" dataDxfId="174"/>
    <tableColumn id="55" xr3:uid="{0F7077E8-8E54-4052-B76C-7BB89FC54175}" uniqueName="55" name="ShowProjectContract" queryTableFieldId="7" dataDxfId="173"/>
    <tableColumn id="56" xr3:uid="{B193E3DB-D64A-49CF-ACD0-86BA05FDD33C}" uniqueName="56" name="ShowVisaPeriod" queryTableFieldId="8" dataDxfId="172"/>
    <tableColumn id="57" xr3:uid="{76BD4FA9-A678-4CB7-B08C-B9013CFA4859}" uniqueName="57" name="ShowVisaCategory" queryTableFieldId="9" dataDxfId="171"/>
    <tableColumn id="58" xr3:uid="{07CF5E9D-2BF5-4884-AD02-07AFC76C059D}" uniqueName="58" name="ShowUrgency" queryTableFieldId="10" dataDxfId="170"/>
    <tableColumn id="59" xr3:uid="{F14FF850-5CAE-4BEE-B101-F2940C577963}" uniqueName="59" name="ShowInvitations" queryTableFieldId="11" dataDxfId="169"/>
    <tableColumn id="60" xr3:uid="{82F7DFE7-989F-46F3-AB1A-AC2832214AF3}" uniqueName="60" name="ShowRejections" queryTableFieldId="12" dataDxfId="168"/>
    <tableColumn id="61" xr3:uid="{1D8D116D-89BE-481D-888E-BF79E6E284EE}" uniqueName="61" name="ShowWorkPermits" queryTableFieldId="13" dataDxfId="167"/>
    <tableColumn id="62" xr3:uid="{15AAB561-B90A-41B7-9CE0-96CDD8E58581}" uniqueName="62" name="ShowRegistrations" queryTableFieldId="14" dataDxfId="166"/>
    <tableColumn id="63" xr3:uid="{5830390F-FED0-4D3A-A5C4-80BCFDC6BF48}" uniqueName="63" name="ShowVisas" queryTableFieldId="15" dataDxfId="165"/>
    <tableColumn id="64" xr3:uid="{6BD37455-4D1B-40F6-B3D0-6514D154ECB0}" uniqueName="64" name="ShowApplicationItems" queryTableFieldId="16" dataDxfId="164"/>
    <tableColumn id="65" xr3:uid="{B36EE9BB-CE38-40EC-88CE-CDB4B5E20607}" uniqueName="65" name="ShowApplicationReason" queryTableFieldId="17" dataDxfId="163"/>
    <tableColumn id="66" xr3:uid="{B852CB4C-D7D8-4F7C-8730-C7A8E2758284}" uniqueName="66" name="ShowMigrationService" queryTableFieldId="18" dataDxfId="162"/>
    <tableColumn id="67" xr3:uid="{DB2C0587-08DA-4580-B3CC-F3E6FF7A169A}" uniqueName="67" name="ShowBusinessTripPlan" queryTableFieldId="19" dataDxfId="161"/>
    <tableColumn id="68" xr3:uid="{C00C6940-4B8D-4C7E-B441-BD0D5DBB7C88}" uniqueName="68" name="ShowBusinessTrips" queryTableFieldId="20" dataDxfId="160"/>
    <tableColumn id="69" xr3:uid="{3D5C8C7D-FA8D-43A9-ACE8-D29194C6A252}" uniqueName="69" name="ShowPreviousPassport" queryTableFieldId="21" dataDxfId="159"/>
    <tableColumn id="70" xr3:uid="{EEFEB6C2-4986-47D4-AA76-AC8DAC8E9EFD}" uniqueName="70" name="ShowCurrentVisa" queryTableFieldId="22" dataDxfId="158"/>
    <tableColumn id="71" xr3:uid="{B85B16B1-A49D-4626-A28B-B1FD3AB6E5EB}" uniqueName="71" name="ShowCurrentWorkPermitItem" queryTableFieldId="23" dataDxfId="157"/>
    <tableColumn id="72" xr3:uid="{CBEC1F67-866A-488B-9C16-A67ED29A79BF}" uniqueName="72" name="ShowCurrentInvitationItem" queryTableFieldId="24" dataDxfId="156"/>
    <tableColumn id="73" xr3:uid="{D71317C8-4280-48EC-8F11-BFE90C3FE6D4}" uniqueName="73" name="ShowCurrentAddressOfResidence" queryTableFieldId="25" dataDxfId="155"/>
    <tableColumn id="74" xr3:uid="{292C3AFB-3E63-43E3-BFE6-8A9769FCD302}" uniqueName="74" name="ShowCurrentRegistration" queryTableFieldId="26" dataDxfId="154"/>
    <tableColumn id="75" xr3:uid="{C4EFFB32-96A2-49AC-A2DF-F90741504ABF}" uniqueName="75" name="ShowCurrentEmployeeContract" queryTableFieldId="27" dataDxfId="153"/>
    <tableColumn id="76" xr3:uid="{F54B1801-14C2-4E9C-A83B-C09F33E137F2}" uniqueName="76" name="ShowCurrentMedicalRecord" queryTableFieldId="28" dataDxfId="152"/>
    <tableColumn id="77" xr3:uid="{5DD36A8F-2B99-4EBE-87FD-C41CECC7B399}" uniqueName="77" name="ShowCurrentEducation" queryTableFieldId="29" dataDxfId="151"/>
    <tableColumn id="78" xr3:uid="{70742B90-B3A4-43AC-BD09-389B97C6452D}" uniqueName="78" name="ShowInvitationItemIsIssued" queryTableFieldId="30" dataDxfId="150"/>
    <tableColumn id="79" xr3:uid="{8638FE72-EB14-46A0-90ED-5612725A1AB9}" uniqueName="79" name="ShowWorkPermitItemIsIssued" queryTableFieldId="31" dataDxfId="149"/>
    <tableColumn id="80" xr3:uid="{EDE244A3-6056-44E5-8180-736F96485D51}" uniqueName="80" name="ShowRejectionIssued" queryTableFieldId="32" dataDxfId="148"/>
    <tableColumn id="81" xr3:uid="{96E43C67-2645-42F4-81ED-4C59A30AB30E}" uniqueName="81" name="ShowVisaIssued" queryTableFieldId="33" dataDxfId="147"/>
    <tableColumn id="82" xr3:uid="{FA6D9F8E-7DC2-4BD5-9544-B05CF35F170A}" uniqueName="82" name="ShowVisaIsCancelled" queryTableFieldId="34" dataDxfId="146"/>
    <tableColumn id="83" xr3:uid="{3C26FDAE-09BE-4115-976B-3CEC7B8C4F98}" uniqueName="83" name="ShowVisaIsChanged" queryTableFieldId="35" dataDxfId="145"/>
    <tableColumn id="84" xr3:uid="{4A36EB0D-13AB-4D97-A622-E5D09BE19489}" uniqueName="84" name="ShowInvitationItemIsCancelled" queryTableFieldId="36" dataDxfId="144"/>
    <tableColumn id="85" xr3:uid="{F3FDB986-5E5C-4A57-B366-C610D94C666A}" uniqueName="85" name="ShowWorkPermitItemIsCancelled" queryTableFieldId="37" dataDxfId="143"/>
    <tableColumn id="86" xr3:uid="{DFD512D1-9110-4C57-BD9F-2226B8F06C43}" uniqueName="86" name="ShowInvitationItemIsChanged" queryTableFieldId="38" dataDxfId="142"/>
    <tableColumn id="87" xr3:uid="{0D19A0CE-CF4E-47E8-B3D8-2E38806C88FD}" uniqueName="87" name="ShowWorkPermitItemIsChanged" queryTableFieldId="39" dataDxfId="141"/>
    <tableColumn id="90" xr3:uid="{9BE3AC2C-DCC8-40A0-9A6A-EED221E33721}" uniqueName="90" name="ApplicationTypeFilterID" queryTableFieldId="42"/>
    <tableColumn id="91" xr3:uid="{9971F9D4-744A-4826-8572-1BC4B955DF06}" uniqueName="91" name="ApplicationTypeFilterNames" queryTableFieldId="43" dataDxfId="140"/>
    <tableColumn id="92" xr3:uid="{06F7B1E9-8A31-4EBC-B488-4C9DB76D8C16}" uniqueName="92" name="GCRecord" queryTableFieldId="44" dataDxfId="139"/>
    <tableColumn id="93" xr3:uid="{27C4BC50-89EB-4AF9-A7CE-5D0EFE1AE4F3}" uniqueName="93" name="OptimisticLockField" queryTableFieldId="45" dataDxfId="138"/>
    <tableColumn id="94" xr3:uid="{4474AFE7-6DB8-440E-B4AD-E15EF37D9CA2}" uniqueName="94" name="Name" queryTableFieldId="46" dataDxfId="137"/>
    <tableColumn id="2" xr3:uid="{EAEA487D-3782-4013-A121-6588A5114A6E}" uniqueName="2" name="NameTm" queryTableFieldId="50" dataDxfId="13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0"/>
    <tableColumn id="4" xr3:uid="{10D78BF4-3302-4A11-B95C-149D4A0FCD94}" uniqueName="4" name="ShowMovementPermitLocation " queryTableFieldId="52" dataDxfId="135"/>
    <tableColumn id="96" xr3:uid="{4C2C7027-DB3D-4C3D-A462-B14F06C9756F}" uniqueName="96" name="ShowVisaType" queryTableFieldId="48" dataDxfId="13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8"/>
    <tableColumn id="11" xr3:uid="{751B31A9-6C01-4F8C-9F24-4B0068F9480D}" uniqueName="11" name="GCRecord" queryTableFieldId="4" dataDxfId="57"/>
    <tableColumn id="12" xr3:uid="{3CCB4A29-B52E-4F33-B70F-56D1848709B0}" uniqueName="12" name="OptimisticLockField" queryTableFieldId="5" dataDxfId="56"/>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5"/>
    <tableColumn id="10" xr3:uid="{B87CE565-67D3-4AD4-82C7-EFCE413664A5}" uniqueName="10" name="OptimisticLockField" queryTableFieldId="4" dataDxfId="54"/>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3">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2"/>
    <tableColumn id="15" xr3:uid="{EEE50F33-FEFC-44CF-BDC6-75E1F5C28141}" uniqueName="15" name="GCRecord" queryTableFieldId="5" dataDxfId="51"/>
    <tableColumn id="16" xr3:uid="{660FBACA-FEB6-48C1-A704-E4C1C45E24C5}" uniqueName="16" name="OptimisticLockField" queryTableFieldId="6" dataDxfId="50"/>
    <tableColumn id="17" xr3:uid="{F72AD16D-DC05-4E5F-BF8D-66E0D396C2FE}" uniqueName="17" name="Name" queryTableFieldId="7" dataDxfId="49"/>
    <tableColumn id="18" xr3:uid="{E1DDA4A6-DE76-48FC-B5F0-9DCE83F86E4A}" uniqueName="18" name="NameTm" queryTableFieldId="8" dataDxfId="48"/>
    <tableColumn id="19" xr3:uid="{1F4F5CCE-8AF3-4654-A2D7-30DEC09FD7F6}" uniqueName="19" name="Code" queryTableFieldId="9"/>
    <tableColumn id="20" xr3:uid="{9FA7DBFE-D231-4CBD-A45F-D1C6DBF408D5}" uniqueName="20" name="IsDefault" queryTableFieldId="10" dataDxfId="4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6" priority="1">
      <formula>ISBLANK(B2)</formula>
    </cfRule>
  </conditionalFormatting>
  <conditionalFormatting sqref="H2:H236">
    <cfRule type="iconSet" priority="845">
      <iconSet iconSet="3Symbols2" showValue="0">
        <cfvo type="percent" val="0"/>
        <cfvo type="num" val="0.5"/>
        <cfvo type="num" val="1"/>
      </iconSet>
    </cfRule>
    <cfRule type="expression" dxfId="45"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4"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3"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2"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41"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40"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3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8" priority="1">
      <formula>ISBLANK(B2)</formula>
    </cfRule>
  </conditionalFormatting>
  <conditionalFormatting sqref="H2:H954">
    <cfRule type="iconSet" priority="857">
      <iconSet iconSet="3Symbols2" showValue="0">
        <cfvo type="percent" val="0"/>
        <cfvo type="num" val="0.5"/>
        <cfvo type="num" val="1"/>
      </iconSet>
    </cfRule>
    <cfRule type="expression" dxfId="37"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6" priority="4">
      <formula>ISBLANK(H2)</formula>
    </cfRule>
  </conditionalFormatting>
  <conditionalFormatting sqref="B2:B10">
    <cfRule type="expression" dxfId="35"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4" priority="4">
      <formula>ISBLANK(H2)</formula>
    </cfRule>
  </conditionalFormatting>
  <conditionalFormatting sqref="B2:B16">
    <cfRule type="expression" dxfId="3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2" priority="4">
      <formula>ISBLANK(H2)</formula>
    </cfRule>
  </conditionalFormatting>
  <conditionalFormatting sqref="B2:B17">
    <cfRule type="expression" dxfId="31"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30"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9" priority="1">
      <formula>ISBLANK(B2)</formula>
    </cfRule>
  </conditionalFormatting>
  <conditionalFormatting sqref="H2:H689">
    <cfRule type="iconSet" priority="855">
      <iconSet iconSet="3Symbols2" showValue="0">
        <cfvo type="percent" val="0"/>
        <cfvo type="num" val="0.5"/>
        <cfvo type="num" val="1"/>
      </iconSet>
    </cfRule>
    <cfRule type="expression" dxfId="28"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6957</v>
      </c>
      <c r="G1" t="s">
        <v>7084</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7085</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7086</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7087</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7" priority="4">
      <formula>ISBLANK(I2)</formula>
    </cfRule>
  </conditionalFormatting>
  <conditionalFormatting sqref="B2:B10">
    <cfRule type="expression" dxfId="26"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25" priority="4">
      <formula>ISBLANK(H2)</formula>
    </cfRule>
  </conditionalFormatting>
  <conditionalFormatting sqref="B2:B4">
    <cfRule type="expression" dxfId="24"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3"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2"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1"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20" priority="5">
      <formula>ISBLANK(A2)</formula>
    </cfRule>
  </conditionalFormatting>
  <conditionalFormatting sqref="B2:B90">
    <cfRule type="expression" dxfId="19" priority="4">
      <formula>ISBLANK(B2)</formula>
    </cfRule>
  </conditionalFormatting>
  <conditionalFormatting sqref="C2:C90">
    <cfRule type="expression" dxfId="18"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7"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1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3"/>
  <sheetViews>
    <sheetView showGridLines="0" tabSelected="1" topLeftCell="AM1" workbookViewId="0">
      <selection activeCell="AU36" sqref="AU36"/>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7101</v>
      </c>
      <c r="AW1" t="s">
        <v>7088</v>
      </c>
      <c r="AX1" t="s">
        <v>4715</v>
      </c>
    </row>
    <row r="2" spans="1:50" x14ac:dyDescent="0.35">
      <c r="A2" t="str">
        <f t="shared" ref="A2:A33"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3" si="1">DETERMINISTIC_GUID(AN2)</f>
        <v>95ECF44F-B94D-3F44-0D80-915DF480EE78</v>
      </c>
      <c r="AN2" s="1" t="s">
        <v>6959</v>
      </c>
      <c r="AO2" s="1">
        <v>0</v>
      </c>
      <c r="AP2" s="1">
        <v>0</v>
      </c>
      <c r="AQ2" s="6" t="s">
        <v>6977</v>
      </c>
      <c r="AR2" s="6" t="s">
        <v>6921</v>
      </c>
      <c r="AS2" t="s">
        <v>4428</v>
      </c>
      <c r="AT2">
        <v>0</v>
      </c>
      <c r="AU2" s="5">
        <v>0</v>
      </c>
      <c r="AV2" s="5">
        <v>1</v>
      </c>
      <c r="AW2" s="5">
        <v>0</v>
      </c>
      <c r="AX2" s="5">
        <v>0</v>
      </c>
    </row>
    <row r="3" spans="1:50"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0</v>
      </c>
      <c r="AW3" s="5">
        <v>0</v>
      </c>
      <c r="AX3" s="5">
        <v>0</v>
      </c>
    </row>
    <row r="4" spans="1:50"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0</v>
      </c>
      <c r="AW4" s="5">
        <v>0</v>
      </c>
      <c r="AX4" s="5">
        <v>0</v>
      </c>
    </row>
    <row r="5" spans="1:50"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0</v>
      </c>
      <c r="AW5" s="5">
        <v>0</v>
      </c>
      <c r="AX5" s="5">
        <v>1</v>
      </c>
    </row>
    <row r="6" spans="1:50"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0</v>
      </c>
      <c r="AW6" s="5">
        <v>0</v>
      </c>
      <c r="AX6" s="5">
        <v>1</v>
      </c>
    </row>
    <row r="7" spans="1:50"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0</v>
      </c>
      <c r="AW7" s="5">
        <v>0</v>
      </c>
      <c r="AX7" s="5">
        <v>1</v>
      </c>
    </row>
    <row r="8" spans="1:50"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0</v>
      </c>
      <c r="AW8" s="5">
        <v>0</v>
      </c>
      <c r="AX8" s="5">
        <v>1</v>
      </c>
    </row>
    <row r="9" spans="1:50"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0</v>
      </c>
      <c r="AW9" s="5">
        <v>0</v>
      </c>
      <c r="AX9" s="5">
        <v>0</v>
      </c>
    </row>
    <row r="10" spans="1:50"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0</v>
      </c>
      <c r="AW10" s="5">
        <v>0</v>
      </c>
      <c r="AX10" s="5">
        <v>0</v>
      </c>
    </row>
    <row r="11" spans="1:50"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0</v>
      </c>
      <c r="AW11" s="5">
        <v>0</v>
      </c>
      <c r="AX11" s="5">
        <v>0</v>
      </c>
    </row>
    <row r="12" spans="1:50"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0</v>
      </c>
      <c r="AW12" s="5">
        <v>0</v>
      </c>
      <c r="AX12" s="5">
        <v>0</v>
      </c>
    </row>
    <row r="13" spans="1:50"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c r="AW13" s="5">
        <v>0</v>
      </c>
      <c r="AX13" s="5">
        <v>0</v>
      </c>
    </row>
    <row r="14" spans="1:50"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c r="AW14" s="5">
        <v>0</v>
      </c>
      <c r="AX14" s="5">
        <v>0</v>
      </c>
    </row>
    <row r="15" spans="1:50"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c r="AW15" s="5">
        <v>0</v>
      </c>
      <c r="AX15" s="5">
        <v>0</v>
      </c>
    </row>
    <row r="16" spans="1:50"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c r="AW16" s="5">
        <v>0</v>
      </c>
      <c r="AX16" s="5">
        <v>0</v>
      </c>
    </row>
    <row r="17" spans="1:50"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c r="AW17" s="5">
        <v>0</v>
      </c>
      <c r="AX17" s="5">
        <v>0</v>
      </c>
    </row>
    <row r="18" spans="1:50"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c r="AW18" s="5">
        <v>0</v>
      </c>
      <c r="AX18" s="5">
        <v>0</v>
      </c>
    </row>
    <row r="19" spans="1:50"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c r="AW19" s="5">
        <v>0</v>
      </c>
      <c r="AX19" s="5">
        <v>0</v>
      </c>
    </row>
    <row r="20" spans="1:50"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c r="AW20" s="5">
        <v>0</v>
      </c>
      <c r="AX20" s="5">
        <v>0</v>
      </c>
    </row>
    <row r="21" spans="1:50"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0</v>
      </c>
      <c r="AW21" s="5">
        <v>0</v>
      </c>
      <c r="AX21" s="5">
        <v>0</v>
      </c>
    </row>
    <row r="22" spans="1:50"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0</v>
      </c>
      <c r="AW22" s="5">
        <v>0</v>
      </c>
      <c r="AX22" s="5">
        <v>1</v>
      </c>
    </row>
    <row r="23" spans="1:50"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0</v>
      </c>
      <c r="AW23" s="5">
        <v>0</v>
      </c>
      <c r="AX23" s="5">
        <v>1</v>
      </c>
    </row>
    <row r="24" spans="1:50" x14ac:dyDescent="0.35">
      <c r="A24" t="str">
        <f t="shared" ref="A24" si="8">DETERMINISTIC_GUID(AQ24)</f>
        <v>1C33275B-6F85-33E7-104D-A77C6CF0CBDC</v>
      </c>
      <c r="B24" s="1">
        <v>3</v>
      </c>
      <c r="C24" s="1">
        <v>1</v>
      </c>
      <c r="D24" s="1">
        <v>2</v>
      </c>
      <c r="E24" s="6">
        <v>45</v>
      </c>
      <c r="F24" s="5">
        <v>1</v>
      </c>
      <c r="G24" s="5">
        <v>1</v>
      </c>
      <c r="H24" s="5">
        <v>1</v>
      </c>
      <c r="I24" s="5">
        <v>1</v>
      </c>
      <c r="J24" s="5">
        <v>0</v>
      </c>
      <c r="K24" s="5">
        <v>0</v>
      </c>
      <c r="L24" s="5">
        <v>0</v>
      </c>
      <c r="M24" s="5">
        <v>0</v>
      </c>
      <c r="N24" s="5">
        <v>1</v>
      </c>
      <c r="O24" s="5">
        <v>1</v>
      </c>
      <c r="P24" s="5">
        <v>1</v>
      </c>
      <c r="Q24" s="5">
        <v>0</v>
      </c>
      <c r="R24" s="5">
        <v>0</v>
      </c>
      <c r="S24" s="5">
        <v>0</v>
      </c>
      <c r="T24" s="5">
        <v>0</v>
      </c>
      <c r="U24" s="5">
        <v>1</v>
      </c>
      <c r="V24" s="5">
        <v>0</v>
      </c>
      <c r="W24" s="5">
        <v>0</v>
      </c>
      <c r="X24" s="5">
        <v>1</v>
      </c>
      <c r="Y24" s="5">
        <v>0</v>
      </c>
      <c r="Z24" s="5">
        <v>0</v>
      </c>
      <c r="AA24" s="5">
        <v>1</v>
      </c>
      <c r="AB24" s="6">
        <v>1</v>
      </c>
      <c r="AC24" s="5">
        <v>0</v>
      </c>
      <c r="AD24" s="5">
        <v>0</v>
      </c>
      <c r="AE24" s="5">
        <v>1</v>
      </c>
      <c r="AF24" s="5">
        <v>1</v>
      </c>
      <c r="AG24" s="5">
        <v>0</v>
      </c>
      <c r="AH24" s="5">
        <v>0</v>
      </c>
      <c r="AI24" s="5">
        <v>0</v>
      </c>
      <c r="AJ24" s="5">
        <v>0</v>
      </c>
      <c r="AK24" s="5">
        <v>0</v>
      </c>
      <c r="AL24" s="5">
        <v>0</v>
      </c>
      <c r="AM24" t="str">
        <f t="shared" ref="AM24" si="9">DETERMINISTIC_GUID(AN24)</f>
        <v>63CE5DF4-A6B9-5D04-9B47-C7D6B67E7C4B</v>
      </c>
      <c r="AN24" s="1" t="s">
        <v>6961</v>
      </c>
      <c r="AO24" s="1">
        <v>0</v>
      </c>
      <c r="AP24" s="1">
        <v>0</v>
      </c>
      <c r="AQ24" s="6" t="s">
        <v>7093</v>
      </c>
      <c r="AR24" s="6" t="s">
        <v>7092</v>
      </c>
      <c r="AS24" t="s">
        <v>7091</v>
      </c>
      <c r="AT24">
        <v>0</v>
      </c>
      <c r="AU24" s="5">
        <v>0</v>
      </c>
      <c r="AV24" s="5">
        <v>0</v>
      </c>
      <c r="AW24" s="5">
        <v>0</v>
      </c>
      <c r="AX24" s="5">
        <v>0</v>
      </c>
    </row>
    <row r="25" spans="1:50" x14ac:dyDescent="0.35">
      <c r="A25" t="str">
        <f t="shared" si="0"/>
        <v>03EF3067-BD85-C361-18AA-C0B731E8D5C7</v>
      </c>
      <c r="B25" s="1">
        <v>8</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6996</v>
      </c>
      <c r="AR25" s="6" t="s">
        <v>6923</v>
      </c>
      <c r="AS25" t="s">
        <v>4430</v>
      </c>
      <c r="AT25">
        <v>0</v>
      </c>
      <c r="AU25" s="5">
        <v>0</v>
      </c>
      <c r="AV25" s="5">
        <v>0</v>
      </c>
      <c r="AW25" s="5">
        <v>0</v>
      </c>
      <c r="AX25" s="5">
        <v>0</v>
      </c>
    </row>
    <row r="26" spans="1:50" x14ac:dyDescent="0.35">
      <c r="A26" t="str">
        <f t="shared" si="0"/>
        <v>8F7B18A5-9D5E-F297-3EDA-AAC423DEB30B</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63CE5DF4-A6B9-5D04-9B47-C7D6B67E7C4B</v>
      </c>
      <c r="AN26" s="1" t="s">
        <v>6961</v>
      </c>
      <c r="AO26" s="1">
        <v>0</v>
      </c>
      <c r="AP26" s="1">
        <v>0</v>
      </c>
      <c r="AQ26" s="6" t="s">
        <v>6997</v>
      </c>
      <c r="AR26" s="6" t="s">
        <v>6927</v>
      </c>
      <c r="AS26" t="s">
        <v>4433</v>
      </c>
      <c r="AT26">
        <v>0</v>
      </c>
      <c r="AU26" s="5">
        <v>0</v>
      </c>
      <c r="AV26" s="5">
        <v>0</v>
      </c>
      <c r="AW26" s="5">
        <v>0</v>
      </c>
      <c r="AX26" s="5">
        <v>0</v>
      </c>
    </row>
    <row r="27" spans="1:50" x14ac:dyDescent="0.35">
      <c r="A27" t="str">
        <f t="shared" si="0"/>
        <v>3AFCD18E-4F75-6D98-3478-EDD4B9686F6F</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2B8A7ED4-B727-3B73-F399-ABFECF528C0F</v>
      </c>
      <c r="AN27" s="1" t="s">
        <v>7011</v>
      </c>
      <c r="AO27" s="1">
        <v>0</v>
      </c>
      <c r="AP27" s="1">
        <v>0</v>
      </c>
      <c r="AQ27" s="6" t="s">
        <v>7015</v>
      </c>
      <c r="AR27" s="6" t="s">
        <v>7016</v>
      </c>
      <c r="AS27" t="s">
        <v>4426</v>
      </c>
      <c r="AT27">
        <v>0</v>
      </c>
      <c r="AU27" s="5">
        <v>0</v>
      </c>
      <c r="AV27" s="5">
        <v>0</v>
      </c>
      <c r="AW27" s="5">
        <v>0</v>
      </c>
      <c r="AX27" s="5">
        <v>1</v>
      </c>
    </row>
    <row r="28" spans="1:50" x14ac:dyDescent="0.35">
      <c r="A28" t="str">
        <f t="shared" ref="A28" si="10">DETERMINISTIC_GUID(AQ28)</f>
        <v>835449DD-83CC-2034-D036-6A2AB3F90E1B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0</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ref="AM28" si="11">DETERMINISTIC_GUID(AN28)</f>
        <v>2B8A7ED4-B727-3B73-F399-ABFECF528C0F</v>
      </c>
      <c r="AN28" s="1" t="s">
        <v>7011</v>
      </c>
      <c r="AO28" s="1">
        <v>0</v>
      </c>
      <c r="AP28" s="1">
        <v>0</v>
      </c>
      <c r="AQ28" s="6" t="s">
        <v>7074</v>
      </c>
      <c r="AR28" s="6" t="s">
        <v>7073</v>
      </c>
      <c r="AS28" t="s">
        <v>4426</v>
      </c>
      <c r="AT28">
        <v>0</v>
      </c>
      <c r="AU28" s="5">
        <v>0</v>
      </c>
      <c r="AV28" s="5">
        <v>0</v>
      </c>
      <c r="AW28" s="5">
        <v>0</v>
      </c>
      <c r="AX28" s="5">
        <v>0</v>
      </c>
    </row>
    <row r="29" spans="1:50" x14ac:dyDescent="0.35">
      <c r="A29" t="str">
        <f t="shared" si="0"/>
        <v>56730242-CE7C-4182-79C6-72412646D097</v>
      </c>
      <c r="B29" s="1">
        <v>0</v>
      </c>
      <c r="C29" s="1">
        <v>2</v>
      </c>
      <c r="D29" s="1">
        <v>1</v>
      </c>
      <c r="E29" s="6">
        <v>10</v>
      </c>
      <c r="F29" s="5">
        <v>0</v>
      </c>
      <c r="G29" s="5">
        <v>0</v>
      </c>
      <c r="H29" s="5">
        <v>0</v>
      </c>
      <c r="I29" s="5">
        <v>0</v>
      </c>
      <c r="J29" s="5">
        <v>0</v>
      </c>
      <c r="K29" s="5">
        <v>0</v>
      </c>
      <c r="L29" s="5">
        <v>0</v>
      </c>
      <c r="M29" s="5">
        <v>0</v>
      </c>
      <c r="N29" s="5">
        <v>0</v>
      </c>
      <c r="O29" s="5">
        <v>1</v>
      </c>
      <c r="P29" s="5">
        <v>1</v>
      </c>
      <c r="Q29" s="5">
        <v>1</v>
      </c>
      <c r="R29" s="5">
        <v>0</v>
      </c>
      <c r="S29" s="5">
        <v>0</v>
      </c>
      <c r="T29" s="5">
        <v>0</v>
      </c>
      <c r="U29" s="5">
        <v>1</v>
      </c>
      <c r="V29" s="5">
        <v>1</v>
      </c>
      <c r="W29" s="5">
        <v>0</v>
      </c>
      <c r="X29" s="5">
        <v>1</v>
      </c>
      <c r="Y29" s="5">
        <v>0</v>
      </c>
      <c r="Z29" s="5">
        <v>0</v>
      </c>
      <c r="AA29" s="5">
        <v>0</v>
      </c>
      <c r="AB29" s="6">
        <v>1</v>
      </c>
      <c r="AC29" s="5">
        <v>0</v>
      </c>
      <c r="AD29" s="5">
        <v>0</v>
      </c>
      <c r="AE29" s="5">
        <v>0</v>
      </c>
      <c r="AF29" s="5">
        <v>0</v>
      </c>
      <c r="AG29" s="5">
        <v>0</v>
      </c>
      <c r="AH29" s="5">
        <v>1</v>
      </c>
      <c r="AI29" s="5">
        <v>0</v>
      </c>
      <c r="AJ29" s="5">
        <v>1</v>
      </c>
      <c r="AK29" s="5">
        <v>0</v>
      </c>
      <c r="AL29" s="5">
        <v>0</v>
      </c>
      <c r="AM29" t="str">
        <f t="shared" si="1"/>
        <v>B205C009-3EF3-1195-1439-9E9C2E1DB27B</v>
      </c>
      <c r="AN29" s="1" t="s">
        <v>6971</v>
      </c>
      <c r="AO29" s="1">
        <v>0</v>
      </c>
      <c r="AP29" s="1">
        <v>0</v>
      </c>
      <c r="AQ29" s="6" t="s">
        <v>6995</v>
      </c>
      <c r="AR29" s="6" t="s">
        <v>6925</v>
      </c>
      <c r="AS29" t="s">
        <v>4431</v>
      </c>
      <c r="AT29">
        <v>0</v>
      </c>
      <c r="AU29" s="5">
        <v>0</v>
      </c>
      <c r="AV29" s="5">
        <v>0</v>
      </c>
      <c r="AW29" s="5">
        <v>0</v>
      </c>
      <c r="AX29" s="5">
        <v>0</v>
      </c>
    </row>
    <row r="30" spans="1:50" x14ac:dyDescent="0.35">
      <c r="A30" t="str">
        <f t="shared" si="0"/>
        <v>D74B7A4C-0090-B92B-C35E-5A8C8AEA27E9</v>
      </c>
      <c r="B30" s="1">
        <v>3</v>
      </c>
      <c r="C30" s="1">
        <v>1</v>
      </c>
      <c r="D30" s="1">
        <v>1</v>
      </c>
      <c r="E30" s="6">
        <v>45</v>
      </c>
      <c r="F30" s="5">
        <v>1</v>
      </c>
      <c r="G30" s="5">
        <v>1</v>
      </c>
      <c r="H30" s="5">
        <v>1</v>
      </c>
      <c r="I30" s="5">
        <v>1</v>
      </c>
      <c r="J30" s="5">
        <v>0</v>
      </c>
      <c r="K30" s="5">
        <v>1</v>
      </c>
      <c r="L30" s="5">
        <v>1</v>
      </c>
      <c r="M30" s="5">
        <v>0</v>
      </c>
      <c r="N30" s="5">
        <v>1</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1</v>
      </c>
      <c r="AG30" s="5">
        <v>0</v>
      </c>
      <c r="AH30" s="5">
        <v>1</v>
      </c>
      <c r="AI30" s="5">
        <v>0</v>
      </c>
      <c r="AJ30" s="5">
        <v>0</v>
      </c>
      <c r="AK30" s="5">
        <v>0</v>
      </c>
      <c r="AL30" s="5">
        <v>0</v>
      </c>
      <c r="AM30" t="str">
        <f t="shared" si="1"/>
        <v>B205C009-3EF3-1195-1439-9E9C2E1DB27B</v>
      </c>
      <c r="AN30" s="1" t="s">
        <v>6971</v>
      </c>
      <c r="AO30" s="1">
        <v>0</v>
      </c>
      <c r="AP30" s="1">
        <v>0</v>
      </c>
      <c r="AQ30" s="6" t="s">
        <v>6981</v>
      </c>
      <c r="AR30" s="6" t="s">
        <v>6926</v>
      </c>
      <c r="AS30" t="s">
        <v>4432</v>
      </c>
      <c r="AT30">
        <v>0</v>
      </c>
      <c r="AU30" s="5">
        <v>0</v>
      </c>
      <c r="AV30" s="5">
        <v>0</v>
      </c>
      <c r="AW30" s="5">
        <v>0</v>
      </c>
      <c r="AX30" s="5">
        <v>1</v>
      </c>
    </row>
    <row r="31" spans="1:50" x14ac:dyDescent="0.35">
      <c r="A31" t="str">
        <f t="shared" si="0"/>
        <v>0DF29315-7CF5-065A-3FAB-97C796AF71A9</v>
      </c>
      <c r="B31" s="1">
        <v>3</v>
      </c>
      <c r="C31" s="1">
        <v>1</v>
      </c>
      <c r="D31" s="1">
        <v>1</v>
      </c>
      <c r="E31" s="6">
        <v>45</v>
      </c>
      <c r="F31" s="5">
        <v>1</v>
      </c>
      <c r="G31" s="5">
        <v>0</v>
      </c>
      <c r="H31" s="5">
        <v>0</v>
      </c>
      <c r="I31" s="5">
        <v>0</v>
      </c>
      <c r="J31" s="5">
        <v>0</v>
      </c>
      <c r="K31" s="5">
        <v>0</v>
      </c>
      <c r="L31" s="5">
        <v>1</v>
      </c>
      <c r="M31" s="5">
        <v>0</v>
      </c>
      <c r="N31" s="5">
        <v>0</v>
      </c>
      <c r="O31" s="5">
        <v>1</v>
      </c>
      <c r="P31" s="5">
        <v>1</v>
      </c>
      <c r="Q31" s="5">
        <v>0</v>
      </c>
      <c r="R31" s="5">
        <v>0</v>
      </c>
      <c r="S31" s="5">
        <v>0</v>
      </c>
      <c r="T31" s="5">
        <v>0</v>
      </c>
      <c r="U31" s="5">
        <v>1</v>
      </c>
      <c r="V31" s="5">
        <v>1</v>
      </c>
      <c r="W31" s="5">
        <v>0</v>
      </c>
      <c r="X31" s="5">
        <v>1</v>
      </c>
      <c r="Y31" s="5">
        <v>0</v>
      </c>
      <c r="Z31" s="5">
        <v>1</v>
      </c>
      <c r="AA31" s="5">
        <v>1</v>
      </c>
      <c r="AB31" s="6">
        <v>1</v>
      </c>
      <c r="AC31" s="5">
        <v>0</v>
      </c>
      <c r="AD31" s="5">
        <v>1</v>
      </c>
      <c r="AE31" s="5">
        <v>1</v>
      </c>
      <c r="AF31" s="5">
        <v>0</v>
      </c>
      <c r="AG31" s="5">
        <v>0</v>
      </c>
      <c r="AH31" s="5">
        <v>1</v>
      </c>
      <c r="AI31" s="5">
        <v>0</v>
      </c>
      <c r="AJ31" s="5">
        <v>0</v>
      </c>
      <c r="AK31" s="5">
        <v>0</v>
      </c>
      <c r="AL31" s="5">
        <v>0</v>
      </c>
      <c r="AM31" t="str">
        <f t="shared" si="1"/>
        <v>34178C86-1874-80BD-D4AA-720D06CBEB91</v>
      </c>
      <c r="AN31" s="1" t="s">
        <v>6958</v>
      </c>
      <c r="AO31" s="1">
        <v>0</v>
      </c>
      <c r="AP31" s="1">
        <v>0</v>
      </c>
      <c r="AQ31" s="6" t="s">
        <v>6982</v>
      </c>
      <c r="AR31" s="6" t="s">
        <v>6919</v>
      </c>
      <c r="AS31" t="s">
        <v>4427</v>
      </c>
      <c r="AT31">
        <v>0</v>
      </c>
      <c r="AU31" s="5">
        <v>0</v>
      </c>
      <c r="AV31" s="5">
        <v>0</v>
      </c>
      <c r="AW31" s="5">
        <v>0</v>
      </c>
      <c r="AX31" s="5">
        <v>0</v>
      </c>
    </row>
    <row r="32" spans="1:50" x14ac:dyDescent="0.35">
      <c r="A32" t="str">
        <f t="shared" si="0"/>
        <v>6293EEC5-075B-1289-4309-7598BBF4431B</v>
      </c>
      <c r="B32" s="1">
        <v>0</v>
      </c>
      <c r="C32" s="1">
        <v>2</v>
      </c>
      <c r="D32" s="1">
        <v>1</v>
      </c>
      <c r="E32" s="6">
        <v>30</v>
      </c>
      <c r="F32" s="5">
        <v>0</v>
      </c>
      <c r="G32" s="5">
        <v>0</v>
      </c>
      <c r="H32" s="5">
        <v>0</v>
      </c>
      <c r="I32" s="5">
        <v>0</v>
      </c>
      <c r="J32" s="5">
        <v>0</v>
      </c>
      <c r="K32" s="5">
        <v>0</v>
      </c>
      <c r="L32" s="5">
        <v>0</v>
      </c>
      <c r="M32" s="5">
        <v>1</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1</v>
      </c>
      <c r="AK32" s="5">
        <v>0</v>
      </c>
      <c r="AL32" s="5">
        <v>0</v>
      </c>
      <c r="AM32" t="str">
        <f t="shared" si="1"/>
        <v>34178C86-1874-80BD-D4AA-720D06CBEB91</v>
      </c>
      <c r="AN32" s="1" t="s">
        <v>6958</v>
      </c>
      <c r="AO32" s="1">
        <v>0</v>
      </c>
      <c r="AP32" s="1">
        <v>0</v>
      </c>
      <c r="AQ32" s="6" t="s">
        <v>6998</v>
      </c>
      <c r="AR32" s="6" t="s">
        <v>6917</v>
      </c>
      <c r="AS32" t="s">
        <v>4425</v>
      </c>
      <c r="AT32">
        <v>0</v>
      </c>
      <c r="AU32" s="5">
        <v>0</v>
      </c>
      <c r="AV32" s="5">
        <v>0</v>
      </c>
      <c r="AW32" s="5">
        <v>0</v>
      </c>
      <c r="AX32" s="5">
        <v>0</v>
      </c>
    </row>
    <row r="33" spans="1:50" x14ac:dyDescent="0.35">
      <c r="A33" t="str">
        <f t="shared" si="0"/>
        <v>3A993E9D-FB05-AF08-5CB9-71FAD0C72303</v>
      </c>
      <c r="B33" s="1">
        <v>0</v>
      </c>
      <c r="C33" s="1">
        <v>1</v>
      </c>
      <c r="D33" s="1">
        <v>1</v>
      </c>
      <c r="E33" s="6">
        <v>30</v>
      </c>
      <c r="F33" s="5">
        <v>1</v>
      </c>
      <c r="G33" s="5">
        <v>0</v>
      </c>
      <c r="H33" s="5">
        <v>0</v>
      </c>
      <c r="I33" s="5">
        <v>0</v>
      </c>
      <c r="J33" s="5">
        <v>0</v>
      </c>
      <c r="K33" s="5">
        <v>0</v>
      </c>
      <c r="L33" s="5">
        <v>1</v>
      </c>
      <c r="M33" s="5">
        <v>0</v>
      </c>
      <c r="N33" s="5">
        <v>0</v>
      </c>
      <c r="O33" s="5">
        <v>1</v>
      </c>
      <c r="P33" s="5">
        <v>1</v>
      </c>
      <c r="Q33" s="5">
        <v>0</v>
      </c>
      <c r="R33" s="5">
        <v>0</v>
      </c>
      <c r="S33" s="5">
        <v>0</v>
      </c>
      <c r="T33" s="5">
        <v>0</v>
      </c>
      <c r="U33" s="5">
        <v>0</v>
      </c>
      <c r="V33" s="5">
        <v>1</v>
      </c>
      <c r="W33" s="5">
        <v>0</v>
      </c>
      <c r="X33" s="5">
        <v>0</v>
      </c>
      <c r="Y33" s="5">
        <v>0</v>
      </c>
      <c r="Z33" s="5">
        <v>0</v>
      </c>
      <c r="AA33" s="5">
        <v>0</v>
      </c>
      <c r="AB33" s="6">
        <v>1</v>
      </c>
      <c r="AC33" s="5">
        <v>0</v>
      </c>
      <c r="AD33" s="5">
        <v>0</v>
      </c>
      <c r="AE33" s="5">
        <v>0</v>
      </c>
      <c r="AF33" s="5">
        <v>0</v>
      </c>
      <c r="AG33" s="5">
        <v>0</v>
      </c>
      <c r="AH33" s="5">
        <v>1</v>
      </c>
      <c r="AI33" s="5">
        <v>0</v>
      </c>
      <c r="AJ33" s="5">
        <v>0</v>
      </c>
      <c r="AK33" s="5">
        <v>0</v>
      </c>
      <c r="AL33" s="5">
        <v>1</v>
      </c>
      <c r="AM33" t="str">
        <f t="shared" si="1"/>
        <v>34178C86-1874-80BD-D4AA-720D06CBEB91</v>
      </c>
      <c r="AN33" s="1" t="s">
        <v>6958</v>
      </c>
      <c r="AO33" s="1">
        <v>0</v>
      </c>
      <c r="AP33" s="1">
        <v>0</v>
      </c>
      <c r="AQ33" s="6" t="s">
        <v>6999</v>
      </c>
      <c r="AR33" s="6" t="s">
        <v>7000</v>
      </c>
      <c r="AS33" t="s">
        <v>4424</v>
      </c>
      <c r="AT33">
        <v>0</v>
      </c>
      <c r="AU33" s="5">
        <v>0</v>
      </c>
      <c r="AV33" s="5">
        <v>0</v>
      </c>
      <c r="AW33" s="5">
        <v>1</v>
      </c>
      <c r="AX33" s="5">
        <v>0</v>
      </c>
    </row>
  </sheetData>
  <conditionalFormatting sqref="AD2:AD33 A2:C33 X2:AA33 T2:U33">
    <cfRule type="expression" dxfId="15" priority="5">
      <formula>ISBLANK(A2)</formula>
    </cfRule>
  </conditionalFormatting>
  <conditionalFormatting sqref="F2:F33">
    <cfRule type="iconSet" priority="2355">
      <iconSet iconSet="3Symbols2" showValue="0">
        <cfvo type="percent" val="0"/>
        <cfvo type="num" val="0.5"/>
        <cfvo type="num" val="1"/>
      </iconSet>
    </cfRule>
    <cfRule type="expression" dxfId="14" priority="2356">
      <formula>ISBLANK(F2)</formula>
    </cfRule>
  </conditionalFormatting>
  <conditionalFormatting sqref="G2:G33">
    <cfRule type="iconSet" priority="2359">
      <iconSet iconSet="3Symbols2" showValue="0">
        <cfvo type="percent" val="0"/>
        <cfvo type="num" val="0.5"/>
        <cfvo type="num" val="1"/>
      </iconSet>
    </cfRule>
    <cfRule type="expression" dxfId="13" priority="2360">
      <formula>ISBLANK(G2)</formula>
    </cfRule>
  </conditionalFormatting>
  <conditionalFormatting sqref="H2:H33">
    <cfRule type="iconSet" priority="2363">
      <iconSet iconSet="3Symbols2" showValue="0">
        <cfvo type="percent" val="0"/>
        <cfvo type="num" val="0.5"/>
        <cfvo type="num" val="1"/>
      </iconSet>
    </cfRule>
    <cfRule type="expression" dxfId="12" priority="2364">
      <formula>ISBLANK(H2)</formula>
    </cfRule>
  </conditionalFormatting>
  <conditionalFormatting sqref="I2:I33">
    <cfRule type="iconSet" priority="2367">
      <iconSet iconSet="3Symbols2" showValue="0">
        <cfvo type="percent" val="0"/>
        <cfvo type="num" val="0.5"/>
        <cfvo type="num" val="1"/>
      </iconSet>
    </cfRule>
    <cfRule type="expression" dxfId="11" priority="2368">
      <formula>ISBLANK(I2)</formula>
    </cfRule>
  </conditionalFormatting>
  <conditionalFormatting sqref="J2:J33">
    <cfRule type="iconSet" priority="2371">
      <iconSet iconSet="3Symbols2" showValue="0">
        <cfvo type="percent" val="0"/>
        <cfvo type="num" val="0.5"/>
        <cfvo type="num" val="1"/>
      </iconSet>
    </cfRule>
    <cfRule type="expression" dxfId="10" priority="2372">
      <formula>ISBLANK(J2)</formula>
    </cfRule>
  </conditionalFormatting>
  <conditionalFormatting sqref="K2:K33">
    <cfRule type="iconSet" priority="2375">
      <iconSet iconSet="3Symbols2" showValue="0">
        <cfvo type="percent" val="0"/>
        <cfvo type="num" val="0.5"/>
        <cfvo type="num" val="1"/>
      </iconSet>
    </cfRule>
    <cfRule type="expression" dxfId="9" priority="2376">
      <formula>ISBLANK(K2)</formula>
    </cfRule>
  </conditionalFormatting>
  <conditionalFormatting sqref="L2:L33">
    <cfRule type="iconSet" priority="2379">
      <iconSet iconSet="3Symbols2" showValue="0">
        <cfvo type="percent" val="0"/>
        <cfvo type="num" val="0.5"/>
        <cfvo type="num" val="1"/>
      </iconSet>
    </cfRule>
    <cfRule type="expression" dxfId="8" priority="2380">
      <formula>ISBLANK(L2)</formula>
    </cfRule>
  </conditionalFormatting>
  <conditionalFormatting sqref="M2:M33">
    <cfRule type="iconSet" priority="2383">
      <iconSet iconSet="3Symbols2" showValue="0">
        <cfvo type="percent" val="0"/>
        <cfvo type="num" val="0.5"/>
        <cfvo type="num" val="1"/>
      </iconSet>
    </cfRule>
    <cfRule type="expression" dxfId="7" priority="2384">
      <formula>ISBLANK(M2)</formula>
    </cfRule>
  </conditionalFormatting>
  <conditionalFormatting sqref="N2:N33">
    <cfRule type="iconSet" priority="2387">
      <iconSet iconSet="3Symbols2" showValue="0">
        <cfvo type="percent" val="0"/>
        <cfvo type="num" val="0.5"/>
        <cfvo type="num" val="1"/>
      </iconSet>
    </cfRule>
    <cfRule type="expression" dxfId="6" priority="2388">
      <formula>ISBLANK(N2)</formula>
    </cfRule>
  </conditionalFormatting>
  <conditionalFormatting sqref="O2:O33">
    <cfRule type="iconSet" priority="2391">
      <iconSet iconSet="3Symbols2" showValue="0">
        <cfvo type="percent" val="0"/>
        <cfvo type="num" val="0.5"/>
        <cfvo type="num" val="1"/>
      </iconSet>
    </cfRule>
    <cfRule type="expression" dxfId="5" priority="2392">
      <formula>ISBLANK(O2)</formula>
    </cfRule>
  </conditionalFormatting>
  <conditionalFormatting sqref="P2:P33">
    <cfRule type="iconSet" priority="2395">
      <iconSet iconSet="3Symbols2" showValue="0">
        <cfvo type="percent" val="0"/>
        <cfvo type="num" val="0.5"/>
        <cfvo type="num" val="1"/>
      </iconSet>
    </cfRule>
    <cfRule type="expression" dxfId="4" priority="2396">
      <formula>ISBLANK(P2)</formula>
    </cfRule>
  </conditionalFormatting>
  <conditionalFormatting sqref="Q2:Q33">
    <cfRule type="iconSet" priority="2399">
      <iconSet iconSet="3Symbols2" showValue="0">
        <cfvo type="percent" val="0"/>
        <cfvo type="num" val="0.5"/>
        <cfvo type="num" val="1"/>
      </iconSet>
    </cfRule>
  </conditionalFormatting>
  <conditionalFormatting sqref="R2:R33">
    <cfRule type="iconSet" priority="2401">
      <iconSet iconSet="3Symbols2" showValue="0">
        <cfvo type="percent" val="0"/>
        <cfvo type="num" val="0.5"/>
        <cfvo type="num" val="1"/>
      </iconSet>
    </cfRule>
  </conditionalFormatting>
  <conditionalFormatting sqref="S2:S33">
    <cfRule type="iconSet" priority="2403">
      <iconSet iconSet="3Symbols2" showValue="0">
        <cfvo type="percent" val="0"/>
        <cfvo type="num" val="0.5"/>
        <cfvo type="num" val="1"/>
      </iconSet>
    </cfRule>
  </conditionalFormatting>
  <conditionalFormatting sqref="T2:T33">
    <cfRule type="iconSet" priority="2405">
      <iconSet iconSet="3Symbols2" showValue="0">
        <cfvo type="percent" val="0"/>
        <cfvo type="num" val="0.5"/>
        <cfvo type="num" val="1"/>
      </iconSet>
    </cfRule>
  </conditionalFormatting>
  <conditionalFormatting sqref="U2:U33">
    <cfRule type="iconSet" priority="2407">
      <iconSet iconSet="3Symbols2" showValue="0">
        <cfvo type="percent" val="0"/>
        <cfvo type="num" val="0.5"/>
        <cfvo type="num" val="1"/>
      </iconSet>
    </cfRule>
  </conditionalFormatting>
  <conditionalFormatting sqref="V2:V33">
    <cfRule type="iconSet" priority="2409">
      <iconSet iconSet="3Symbols2" showValue="0">
        <cfvo type="percent" val="0"/>
        <cfvo type="num" val="0.5"/>
        <cfvo type="num" val="1"/>
      </iconSet>
    </cfRule>
  </conditionalFormatting>
  <conditionalFormatting sqref="W2:W33">
    <cfRule type="iconSet" priority="2411">
      <iconSet iconSet="3Symbols2" showValue="0">
        <cfvo type="percent" val="0"/>
        <cfvo type="num" val="0.5"/>
        <cfvo type="num" val="1"/>
      </iconSet>
    </cfRule>
  </conditionalFormatting>
  <conditionalFormatting sqref="X2:X33">
    <cfRule type="iconSet" priority="2413">
      <iconSet iconSet="3Symbols2" showValue="0">
        <cfvo type="percent" val="0"/>
        <cfvo type="num" val="0.5"/>
        <cfvo type="num" val="1"/>
      </iconSet>
    </cfRule>
  </conditionalFormatting>
  <conditionalFormatting sqref="Y2:Y33">
    <cfRule type="iconSet" priority="2415">
      <iconSet iconSet="3Symbols2" showValue="0">
        <cfvo type="percent" val="0"/>
        <cfvo type="num" val="0.5"/>
        <cfvo type="num" val="1"/>
      </iconSet>
    </cfRule>
  </conditionalFormatting>
  <conditionalFormatting sqref="Z2:Z33">
    <cfRule type="iconSet" priority="2417">
      <iconSet iconSet="3Symbols2" showValue="0">
        <cfvo type="percent" val="0"/>
        <cfvo type="num" val="0.5"/>
        <cfvo type="num" val="1"/>
      </iconSet>
    </cfRule>
  </conditionalFormatting>
  <conditionalFormatting sqref="AA2:AA33">
    <cfRule type="iconSet" priority="2419">
      <iconSet iconSet="3Symbols2" showValue="0">
        <cfvo type="percent" val="0"/>
        <cfvo type="num" val="0.5"/>
        <cfvo type="num" val="1"/>
      </iconSet>
    </cfRule>
  </conditionalFormatting>
  <conditionalFormatting sqref="AC2:AC33">
    <cfRule type="iconSet" priority="2421">
      <iconSet iconSet="3Symbols2" showValue="0">
        <cfvo type="percent" val="0"/>
        <cfvo type="num" val="0.5"/>
        <cfvo type="num" val="1"/>
      </iconSet>
    </cfRule>
  </conditionalFormatting>
  <conditionalFormatting sqref="AD2:AD33">
    <cfRule type="iconSet" priority="2423">
      <iconSet iconSet="3Symbols2" showValue="0">
        <cfvo type="percent" val="0"/>
        <cfvo type="num" val="0.5"/>
        <cfvo type="num" val="1"/>
      </iconSet>
    </cfRule>
  </conditionalFormatting>
  <conditionalFormatting sqref="AE2:AE33">
    <cfRule type="iconSet" priority="2425">
      <iconSet iconSet="3Symbols2" showValue="0">
        <cfvo type="percent" val="0"/>
        <cfvo type="num" val="0.5"/>
        <cfvo type="num" val="1"/>
      </iconSet>
    </cfRule>
  </conditionalFormatting>
  <conditionalFormatting sqref="AF2:AF33">
    <cfRule type="iconSet" priority="2427">
      <iconSet iconSet="3Symbols2" showValue="0">
        <cfvo type="percent" val="0"/>
        <cfvo type="num" val="0.5"/>
        <cfvo type="num" val="1"/>
      </iconSet>
    </cfRule>
  </conditionalFormatting>
  <conditionalFormatting sqref="AG2:AG33">
    <cfRule type="iconSet" priority="2429">
      <iconSet iconSet="3Symbols2" showValue="0">
        <cfvo type="percent" val="0"/>
        <cfvo type="num" val="0.5"/>
        <cfvo type="num" val="1"/>
      </iconSet>
    </cfRule>
  </conditionalFormatting>
  <conditionalFormatting sqref="AH2:AH33">
    <cfRule type="iconSet" priority="2431">
      <iconSet iconSet="3Symbols2" showValue="0">
        <cfvo type="percent" val="0"/>
        <cfvo type="num" val="0.5"/>
        <cfvo type="num" val="1"/>
      </iconSet>
    </cfRule>
  </conditionalFormatting>
  <conditionalFormatting sqref="AI2:AI33">
    <cfRule type="iconSet" priority="2433">
      <iconSet iconSet="3Symbols2" showValue="0">
        <cfvo type="percent" val="0"/>
        <cfvo type="num" val="0.5"/>
        <cfvo type="num" val="1"/>
      </iconSet>
    </cfRule>
  </conditionalFormatting>
  <conditionalFormatting sqref="AJ2:AJ33">
    <cfRule type="iconSet" priority="2435">
      <iconSet iconSet="3Symbols2" showValue="0">
        <cfvo type="percent" val="0"/>
        <cfvo type="num" val="0.5"/>
        <cfvo type="num" val="1"/>
      </iconSet>
    </cfRule>
  </conditionalFormatting>
  <conditionalFormatting sqref="AK2:AK33">
    <cfRule type="iconSet" priority="2437">
      <iconSet iconSet="3Symbols2" showValue="0">
        <cfvo type="percent" val="0"/>
        <cfvo type="num" val="0.5"/>
        <cfvo type="num" val="1"/>
      </iconSet>
    </cfRule>
  </conditionalFormatting>
  <conditionalFormatting sqref="AL2:AL33">
    <cfRule type="iconSet" priority="2439">
      <iconSet iconSet="3Symbols2" showValue="0">
        <cfvo type="percent" val="0"/>
        <cfvo type="num" val="0.5"/>
        <cfvo type="num" val="1"/>
      </iconSet>
    </cfRule>
  </conditionalFormatting>
  <conditionalFormatting sqref="AX2:AX33">
    <cfRule type="iconSet" priority="2441">
      <iconSet iconSet="3Symbols2" showValue="0">
        <cfvo type="percent" val="0"/>
        <cfvo type="num" val="0.5"/>
        <cfvo type="num" val="1"/>
      </iconSet>
    </cfRule>
  </conditionalFormatting>
  <conditionalFormatting sqref="AU2:AU33">
    <cfRule type="iconSet" priority="2443">
      <iconSet iconSet="3Symbols2" showValue="0">
        <cfvo type="percent" val="0"/>
        <cfvo type="num" val="0.5"/>
        <cfvo type="num" val="1"/>
      </iconSet>
    </cfRule>
  </conditionalFormatting>
  <conditionalFormatting sqref="AW2:AW33">
    <cfRule type="iconSet" priority="2">
      <iconSet iconSet="3Symbols2" showValue="0">
        <cfvo type="percent" val="0"/>
        <cfvo type="num" val="0.5"/>
        <cfvo type="num" val="1"/>
      </iconSet>
    </cfRule>
  </conditionalFormatting>
  <conditionalFormatting sqref="AV2:AV33">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3 B2:D33" xr:uid="{759672AB-5B0F-4C29-9EC9-D0816489DCE9}">
      <formula1>-2147483648</formula1>
      <formula2>2147483647</formula2>
    </dataValidation>
    <dataValidation type="textLength" errorStyle="warning" operator="lessThanOrEqual" allowBlank="1" showInputMessage="1" showErrorMessage="1" sqref="AS2:AT33" xr:uid="{16D9415C-06B0-4AA8-B84E-DA13361B84D0}">
      <formula1>20</formula1>
    </dataValidation>
    <dataValidation type="textLength" errorStyle="warning" operator="equal" allowBlank="1" showInputMessage="1" showErrorMessage="1" sqref="A2:A33" xr:uid="{A0BB7C55-1618-4988-8391-523037199DB0}">
      <formula1>36</formula1>
    </dataValidation>
    <dataValidation type="textLength" errorStyle="warning" operator="lessThanOrEqual" allowBlank="1" showInputMessage="1" showErrorMessage="1" sqref="AQ2:AR33 AB2:AB33 E2:E33" xr:uid="{9B959436-0BB6-4412-BE59-78063D9EB7A2}">
      <formula1>100</formula1>
    </dataValidation>
    <dataValidation type="list" allowBlank="1" showInputMessage="1" showErrorMessage="1" sqref="AM2:AM33"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3"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2"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1"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6957</v>
      </c>
      <c r="C1" s="17" t="s">
        <v>4</v>
      </c>
      <c r="D1" s="17" t="s">
        <v>633</v>
      </c>
      <c r="E1" s="17" t="s">
        <v>583</v>
      </c>
      <c r="F1" s="17" t="s">
        <v>7045</v>
      </c>
      <c r="G1" s="19" t="s">
        <v>7080</v>
      </c>
    </row>
    <row r="2" spans="1:7" ht="217.5" x14ac:dyDescent="0.35">
      <c r="A2" s="17" t="s">
        <v>7077</v>
      </c>
      <c r="B2" s="17" t="s">
        <v>7077</v>
      </c>
      <c r="C2" s="17" t="s">
        <v>7077</v>
      </c>
      <c r="D2" s="20" t="s">
        <v>7076</v>
      </c>
      <c r="E2" s="17" t="b">
        <v>1</v>
      </c>
      <c r="F2" s="20" t="s">
        <v>7064</v>
      </c>
      <c r="G2" s="19" t="s">
        <v>7082</v>
      </c>
    </row>
    <row r="3" spans="1:7" ht="159.5" x14ac:dyDescent="0.35">
      <c r="A3" s="19" t="s">
        <v>7095</v>
      </c>
      <c r="B3" s="19" t="s">
        <v>7095</v>
      </c>
      <c r="C3" s="22" t="s">
        <v>7095</v>
      </c>
      <c r="D3" s="20" t="s">
        <v>7094</v>
      </c>
      <c r="F3" s="20" t="s">
        <v>7064</v>
      </c>
      <c r="G3" s="19" t="s">
        <v>7096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7078</v>
      </c>
      <c r="C1" t="s">
        <v>7079</v>
      </c>
    </row>
    <row r="2" spans="1:3" ht="43.5" x14ac:dyDescent="0.35">
      <c r="A2" t="s">
        <v>7082</v>
      </c>
      <c r="B2" s="21" t="s">
        <v>7083</v>
      </c>
      <c r="C2" t="s">
        <v>7081</v>
      </c>
    </row>
    <row r="3" spans="1:3" ht="29" x14ac:dyDescent="0.35">
      <c r="A3" t="s">
        <v>7096</v>
      </c>
      <c r="B3" s="21" t="s">
        <v>7097</v>
      </c>
      <c r="C3" t="s">
        <v>7098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6957</v>
      </c>
      <c r="C1" t="s">
        <v>4</v>
      </c>
      <c r="D1" t="s">
        <v>583</v>
      </c>
    </row>
    <row r="2" spans="1:4" ht="29" x14ac:dyDescent="0.35">
      <c r="A2" s="21" t="s">
        <v>7090</v>
      </c>
      <c r="B2" s="21" t="s">
        <v>7089</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6957</v>
      </c>
      <c r="C1" t="s">
        <v>4</v>
      </c>
      <c r="D1" t="s">
        <v>583</v>
      </c>
    </row>
    <row r="2" spans="1:4" ht="43.5" x14ac:dyDescent="0.35">
      <c r="A2" s="21" t="s">
        <v>7100</v>
      </c>
      <c r="B2" s="21" t="s">
        <v>7099</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2026-04-10T04:05:47Z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